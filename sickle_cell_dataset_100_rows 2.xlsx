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ckleCell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<sst xmlns="http://schemas.openxmlformats.org/spreadsheetml/2006/main" count="422" uniqueCount="129">
  <si>
    <t xml:space="preserve">Town</t>
  </si>
  <si>
    <t xml:space="preserve">Child_ID</t>
  </si>
  <si>
    <t xml:space="preserve">Age</t>
  </si>
  <si>
    <t xml:space="preserve">Gender</t>
  </si>
  <si>
    <t xml:space="preserve">Sickle_Cell_Type</t>
  </si>
  <si>
    <t xml:space="preserve">Diagnosis_Year</t>
  </si>
  <si>
    <t xml:space="preserve">Hemoglobin_Level_g_dL</t>
  </si>
  <si>
    <t xml:space="preserve">Pain_Crises_Per_Year</t>
  </si>
  <si>
    <t xml:space="preserve">Hospital_Visits_Per_Year</t>
  </si>
  <si>
    <t xml:space="preserve">Days_Missed_School_Per_Year</t>
  </si>
  <si>
    <t xml:space="preserve">Total Sick Days</t>
  </si>
  <si>
    <t xml:space="preserve">Average Sick Days</t>
  </si>
  <si>
    <t xml:space="preserve">Median Sick Days</t>
  </si>
  <si>
    <t xml:space="preserve">Max Sick Days</t>
  </si>
  <si>
    <t xml:space="preserve">Min Sick Days</t>
  </si>
  <si>
    <t xml:space="preserve">Very Sensitive Patient</t>
  </si>
  <si>
    <t xml:space="preserve">SUMMARY TABLE</t>
  </si>
  <si>
    <t xml:space="preserve">Yaba</t>
  </si>
  <si>
    <t xml:space="preserve">YA006</t>
  </si>
  <si>
    <t xml:space="preserve">Female</t>
  </si>
  <si>
    <t xml:space="preserve">HbSC</t>
  </si>
  <si>
    <t xml:space="preserve">TOWN</t>
  </si>
  <si>
    <t xml:space="preserve">AVERAGE SICK DAYS</t>
  </si>
  <si>
    <t xml:space="preserve">YA007</t>
  </si>
  <si>
    <t xml:space="preserve">HbSS</t>
  </si>
  <si>
    <t xml:space="preserve">IKEJA</t>
  </si>
  <si>
    <t xml:space="preserve">YA009</t>
  </si>
  <si>
    <t xml:space="preserve">Male</t>
  </si>
  <si>
    <t xml:space="preserve">SURULERE</t>
  </si>
  <si>
    <t xml:space="preserve">YA012</t>
  </si>
  <si>
    <t xml:space="preserve">YABA</t>
  </si>
  <si>
    <t xml:space="preserve">YA013</t>
  </si>
  <si>
    <t xml:space="preserve">YA014</t>
  </si>
  <si>
    <t xml:space="preserve">YA016</t>
  </si>
  <si>
    <t xml:space="preserve">YA023</t>
  </si>
  <si>
    <t xml:space="preserve">YA025</t>
  </si>
  <si>
    <t xml:space="preserve">YA026</t>
  </si>
  <si>
    <t xml:space="preserve">YA027</t>
  </si>
  <si>
    <t xml:space="preserve">YA033</t>
  </si>
  <si>
    <t xml:space="preserve">YA035</t>
  </si>
  <si>
    <t xml:space="preserve">YA040</t>
  </si>
  <si>
    <t xml:space="preserve">YA048</t>
  </si>
  <si>
    <t xml:space="preserve">YA052</t>
  </si>
  <si>
    <t xml:space="preserve">YA053</t>
  </si>
  <si>
    <t xml:space="preserve">YA054</t>
  </si>
  <si>
    <t xml:space="preserve">YA055</t>
  </si>
  <si>
    <t xml:space="preserve">YA061</t>
  </si>
  <si>
    <t xml:space="preserve">YA062</t>
  </si>
  <si>
    <t xml:space="preserve">YA064</t>
  </si>
  <si>
    <t xml:space="preserve">YA066</t>
  </si>
  <si>
    <t xml:space="preserve">YA071</t>
  </si>
  <si>
    <t xml:space="preserve">YA075</t>
  </si>
  <si>
    <t xml:space="preserve">YA080</t>
  </si>
  <si>
    <t xml:space="preserve">YA087</t>
  </si>
  <si>
    <t xml:space="preserve">YA088</t>
  </si>
  <si>
    <t xml:space="preserve">YA089</t>
  </si>
  <si>
    <t xml:space="preserve">YA090</t>
  </si>
  <si>
    <t xml:space="preserve">YA091</t>
  </si>
  <si>
    <t xml:space="preserve">YA093</t>
  </si>
  <si>
    <t xml:space="preserve">YA098</t>
  </si>
  <si>
    <t xml:space="preserve">Surulere</t>
  </si>
  <si>
    <t xml:space="preserve">SU001</t>
  </si>
  <si>
    <t xml:space="preserve">SU003</t>
  </si>
  <si>
    <t xml:space="preserve">SU004</t>
  </si>
  <si>
    <t xml:space="preserve">SU008</t>
  </si>
  <si>
    <t xml:space="preserve">SU010</t>
  </si>
  <si>
    <t xml:space="preserve">SU011</t>
  </si>
  <si>
    <t xml:space="preserve">SU018</t>
  </si>
  <si>
    <t xml:space="preserve">SU019</t>
  </si>
  <si>
    <t xml:space="preserve">SU024</t>
  </si>
  <si>
    <t xml:space="preserve">SU028</t>
  </si>
  <si>
    <t xml:space="preserve">SU030</t>
  </si>
  <si>
    <t xml:space="preserve">SU034</t>
  </si>
  <si>
    <t xml:space="preserve">SU036</t>
  </si>
  <si>
    <t xml:space="preserve">SU041</t>
  </si>
  <si>
    <t xml:space="preserve">SU042</t>
  </si>
  <si>
    <t xml:space="preserve">SU045</t>
  </si>
  <si>
    <t xml:space="preserve">SU046</t>
  </si>
  <si>
    <t xml:space="preserve">SU047</t>
  </si>
  <si>
    <t xml:space="preserve">SU049</t>
  </si>
  <si>
    <t xml:space="preserve">SU050</t>
  </si>
  <si>
    <t xml:space="preserve">SU059</t>
  </si>
  <si>
    <t xml:space="preserve">SU060</t>
  </si>
  <si>
    <t xml:space="preserve">SU063</t>
  </si>
  <si>
    <t xml:space="preserve">SU069</t>
  </si>
  <si>
    <t xml:space="preserve">SU081</t>
  </si>
  <si>
    <t xml:space="preserve">SU082</t>
  </si>
  <si>
    <t xml:space="preserve">SU083</t>
  </si>
  <si>
    <t xml:space="preserve">SU085</t>
  </si>
  <si>
    <t xml:space="preserve">SU086</t>
  </si>
  <si>
    <t xml:space="preserve">SU092</t>
  </si>
  <si>
    <t xml:space="preserve">SU094</t>
  </si>
  <si>
    <t xml:space="preserve">SU097</t>
  </si>
  <si>
    <t xml:space="preserve">SU099</t>
  </si>
  <si>
    <t xml:space="preserve">SU100</t>
  </si>
  <si>
    <t xml:space="preserve">Ikeja</t>
  </si>
  <si>
    <t xml:space="preserve">IK002</t>
  </si>
  <si>
    <t xml:space="preserve">IK005</t>
  </si>
  <si>
    <t xml:space="preserve">IK015</t>
  </si>
  <si>
    <t xml:space="preserve">IK017</t>
  </si>
  <si>
    <t xml:space="preserve">IK020</t>
  </si>
  <si>
    <t xml:space="preserve">IK021</t>
  </si>
  <si>
    <t xml:space="preserve">IK022</t>
  </si>
  <si>
    <t xml:space="preserve">IK029</t>
  </si>
  <si>
    <t xml:space="preserve">IK031</t>
  </si>
  <si>
    <t xml:space="preserve">IK032</t>
  </si>
  <si>
    <t xml:space="preserve">IK037</t>
  </si>
  <si>
    <t xml:space="preserve">IK038</t>
  </si>
  <si>
    <t xml:space="preserve">IK039</t>
  </si>
  <si>
    <t xml:space="preserve">IK043</t>
  </si>
  <si>
    <t xml:space="preserve">IK044</t>
  </si>
  <si>
    <t xml:space="preserve">IK051</t>
  </si>
  <si>
    <t xml:space="preserve">IK056</t>
  </si>
  <si>
    <t xml:space="preserve">IK057</t>
  </si>
  <si>
    <t xml:space="preserve">IK058</t>
  </si>
  <si>
    <t xml:space="preserve">IK065</t>
  </si>
  <si>
    <t xml:space="preserve">IK067</t>
  </si>
  <si>
    <t xml:space="preserve">IK068</t>
  </si>
  <si>
    <t xml:space="preserve">IK070</t>
  </si>
  <si>
    <t xml:space="preserve">IK072</t>
  </si>
  <si>
    <t xml:space="preserve">IK073</t>
  </si>
  <si>
    <t xml:space="preserve">IK074</t>
  </si>
  <si>
    <t xml:space="preserve">IK076</t>
  </si>
  <si>
    <t xml:space="preserve">IK077</t>
  </si>
  <si>
    <t xml:space="preserve">IK078</t>
  </si>
  <si>
    <t xml:space="preserve">IK079</t>
  </si>
  <si>
    <t xml:space="preserve">IK084</t>
  </si>
  <si>
    <t xml:space="preserve">IK095</t>
  </si>
  <si>
    <t xml:space="preserve">IK096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</si>
</sst>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b val="true"/>
      <sz val="14"/>
      <color rgb="FF40404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404040"/>
                </a:solidFill>
                <a:uFillTx/>
                <a:latin typeface="Calibri"/>
              </a:rPr>
              <a:t>SUMMARY TABLE AVERAGE SICK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SickleCellData!$V$1:$V$2</c:f>
              <c:strCache>
                <c:ptCount val="1"/>
                <c:pt idx="0">
                  <c:v>AVERAGE SICK DAYS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SickleCellData!$T$3:$U$5</c:f>
              <c:multiLvlStrCache>
                <c:ptCount val="3"/>
                <c:lvl>
                  <c:pt idx="0">
                    <c:v>IKEJA</c:v>
                  </c:pt>
                  <c:pt idx="1">
                    <c:v>SURULERE</c:v>
                  </c:pt>
                  <c:pt idx="2">
                    <c:v>YABA</c:v>
                  </c:pt>
                </c:lvl>
                <c:lvl/>
              </c:multiLvlStrCache>
            </c:multiLvlStrRef>
          </c:cat>
          <c:val>
            <c:numRef>
              <c:f>SickleCellData!$V$3:$V$5</c:f>
              <c:numCache>
                <c:formatCode>General</c:formatCode>
                <c:ptCount val="3"/>
                <c:pt idx="0">
                  <c:v>26.3939393939394</c:v>
                </c:pt>
                <c:pt idx="1">
                  <c:v>27.5</c:v>
                </c:pt>
                <c:pt idx="2">
                  <c:v>27.4545454545455</c:v>
                </c:pt>
              </c:numCache>
            </c:numRef>
          </c:val>
        </c:ser>
        <c:gapWidth val="246"/>
        <c:overlap val="-28"/>
        <c:axId val="19099001"/>
        <c:axId val="49124022"/>
      </c:barChart>
      <c:catAx>
        <c:axId val="19099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en-US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9124022"/>
        <c:crosses val="autoZero"/>
        <c:auto val="1"/>
        <c:lblAlgn val="ctr"/>
        <c:lblOffset val="100"/>
        <c:noMultiLvlLbl val="0"/>
      </c:catAx>
      <c:valAx>
        <c:axId val="49124022"/>
        <c:scaling>
          <c:orientation val="minMax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lang="en-US"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9099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n-US"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185400</xdr:colOff>
      <xdr:row>2</xdr:row>
      <xdr:rowOff>360</xdr:rowOff>
    </xdr:from>
    <xdr:to>
      <xdr:col>29</xdr:col>
      <xdr:colOff>425880</xdr:colOff>
      <xdr:row>16</xdr:row>
      <xdr:rowOff>178920</xdr:rowOff>
    </xdr:to>
    <xdr:graphicFrame>
      <xdr:nvGraphicFramePr>
        <xdr:cNvPr id="1" name="Chart 12"/>
        <xdr:cNvGraphicFramePr/>
      </xdr:nvGraphicFramePr>
      <xdr:xfrm>
        <a:off x="22278960" y="730440"/>
        <a:ext cx="4955400" cy="271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true" showOutlineSymbols="true" defaultGridColor="true" view="normal" topLeftCell="S1" colorId="64" zoomScale="70" zoomScaleNormal="70" zoomScalePageLayoutView="100" workbookViewId="0">
      <selection pane="topLeft" activeCell="A69" activeCellId="0" sqref="A69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6" min="6" style="0" width="14.44"/>
    <col collapsed="false" customWidth="true" hidden="false" outlineLevel="0" max="7" min="7" style="0" width="21.11"/>
    <col collapsed="false" customWidth="true" hidden="false" outlineLevel="0" max="8" min="8" style="0" width="20.39"/>
    <col collapsed="false" customWidth="true" hidden="false" outlineLevel="0" max="9" min="9" style="0" width="15.81"/>
    <col collapsed="false" customWidth="true" hidden="false" outlineLevel="0" max="10" min="10" style="0" width="25.23"/>
    <col collapsed="false" customWidth="true" hidden="false" outlineLevel="0" max="12" min="11" style="0" width="15"/>
    <col collapsed="false" customWidth="true" hidden="false" outlineLevel="0" max="13" min="13" style="0" width="17.11"/>
    <col collapsed="false" customWidth="true" hidden="false" outlineLevel="0" max="14" min="14" style="0" width="19.87"/>
    <col collapsed="false" customWidth="true" hidden="false" outlineLevel="0" max="15" min="15" style="0" width="14.24"/>
    <col collapsed="false" customWidth="true" hidden="false" outlineLevel="0" max="16" min="16" style="0" width="19.47"/>
    <col collapsed="false" customWidth="true" hidden="false" outlineLevel="0" max="18" min="18" style="0" width="18"/>
    <col collapsed="false" customWidth="true" hidden="false" outlineLevel="0" max="20" min="20" style="0" width="12.89"/>
    <col collapsed="false" customWidth="true" hidden="false" outlineLevel="0" max="23" min="22" style="0" width="12.89"/>
  </cols>
  <sheetData>
    <row r="1" s="4" customFormat="true" ht="34.2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T1" s="5" t="s">
        <v>16</v>
      </c>
      <c r="U1" s="5"/>
      <c r="V1" s="5"/>
    </row>
    <row r="2" customFormat="false" ht="23.3" hidden="false" customHeight="false" outlineLevel="0" collapsed="false">
      <c r="A2" s="6" t="s">
        <v>17</v>
      </c>
      <c r="B2" s="6" t="s">
        <v>18</v>
      </c>
      <c r="C2" s="6" t="n">
        <v>8</v>
      </c>
      <c r="D2" s="6" t="s">
        <v>19</v>
      </c>
      <c r="E2" s="6" t="s">
        <v>20</v>
      </c>
      <c r="F2" s="6" t="n">
        <v>2018</v>
      </c>
      <c r="G2" s="6" t="n">
        <v>9.9</v>
      </c>
      <c r="H2" s="6" t="n">
        <v>5</v>
      </c>
      <c r="I2" s="6" t="n">
        <v>7</v>
      </c>
      <c r="J2" s="6" t="n">
        <v>20</v>
      </c>
      <c r="K2" s="6"/>
      <c r="L2" s="7" t="n">
        <f aca="false">SUM(I2:J2)</f>
        <v>27</v>
      </c>
      <c r="M2" s="6" t="n">
        <f aca="false">AVERAGE(I2:J2)</f>
        <v>13.5</v>
      </c>
      <c r="N2" s="6" t="n">
        <f aca="false">MEDIAN(I2:J2)</f>
        <v>13.5</v>
      </c>
      <c r="O2" s="6" t="n">
        <f aca="false">MAX(I2:J2)</f>
        <v>20</v>
      </c>
      <c r="P2" s="6" t="n">
        <f aca="false">MIN(I2:J2)</f>
        <v>7</v>
      </c>
      <c r="Q2" s="6" t="str">
        <f aca="false">IF(O2&gt;=50,"VERY","NOT VERY")</f>
        <v>NOT VERY</v>
      </c>
      <c r="T2" s="6"/>
      <c r="U2" s="8" t="s">
        <v>21</v>
      </c>
      <c r="V2" s="9" t="s">
        <v>22</v>
      </c>
    </row>
    <row r="3" customFormat="false" ht="14.25" hidden="false" customHeight="false" outlineLevel="0" collapsed="false">
      <c r="A3" s="6" t="s">
        <v>17</v>
      </c>
      <c r="B3" s="6" t="s">
        <v>23</v>
      </c>
      <c r="C3" s="6" t="n">
        <v>9</v>
      </c>
      <c r="D3" s="6" t="s">
        <v>19</v>
      </c>
      <c r="E3" s="6" t="s">
        <v>24</v>
      </c>
      <c r="F3" s="6" t="n">
        <v>2018</v>
      </c>
      <c r="G3" s="6" t="n">
        <v>6.7</v>
      </c>
      <c r="H3" s="6" t="n">
        <v>4</v>
      </c>
      <c r="I3" s="6" t="n">
        <v>6</v>
      </c>
      <c r="J3" s="6" t="n">
        <v>8</v>
      </c>
      <c r="K3" s="6"/>
      <c r="L3" s="7" t="n">
        <f aca="false">SUM(I3:J3)</f>
        <v>14</v>
      </c>
      <c r="M3" s="6" t="n">
        <f aca="false">AVERAGE(I3:J3)</f>
        <v>7</v>
      </c>
      <c r="N3" s="6" t="n">
        <f aca="false">MEDIAN(I3:J3)</f>
        <v>7</v>
      </c>
      <c r="O3" s="6" t="n">
        <f aca="false">MAX(I3:J3)</f>
        <v>8</v>
      </c>
      <c r="P3" s="6" t="n">
        <f aca="false">MIN(I3:J3)</f>
        <v>6</v>
      </c>
      <c r="Q3" s="6" t="str">
        <f aca="false">IF(O3&gt;=50,"VERY","NOT VERY")</f>
        <v>NOT VERY</v>
      </c>
      <c r="T3" s="6"/>
      <c r="U3" s="6" t="s">
        <v>25</v>
      </c>
      <c r="V3" s="6" t="n">
        <f aca="false">AVERAGEIF(A:A,"IKEJA",L:L)</f>
        <v>26.3939393939394</v>
      </c>
    </row>
    <row r="4" customFormat="false" ht="14.25" hidden="false" customHeight="false" outlineLevel="0" collapsed="false">
      <c r="A4" s="6" t="s">
        <v>17</v>
      </c>
      <c r="B4" s="6" t="s">
        <v>26</v>
      </c>
      <c r="C4" s="6" t="n">
        <v>6</v>
      </c>
      <c r="D4" s="6" t="s">
        <v>27</v>
      </c>
      <c r="E4" s="6" t="s">
        <v>24</v>
      </c>
      <c r="F4" s="6" t="n">
        <v>2016</v>
      </c>
      <c r="G4" s="6" t="n">
        <v>6.9</v>
      </c>
      <c r="H4" s="6" t="n">
        <v>4</v>
      </c>
      <c r="I4" s="6" t="n">
        <v>5</v>
      </c>
      <c r="J4" s="6" t="n">
        <v>12</v>
      </c>
      <c r="K4" s="6"/>
      <c r="L4" s="7" t="n">
        <f aca="false">SUM(I4:J4)</f>
        <v>17</v>
      </c>
      <c r="M4" s="6" t="n">
        <f aca="false">AVERAGE(I4:J4)</f>
        <v>8.5</v>
      </c>
      <c r="N4" s="6" t="n">
        <f aca="false">MEDIAN(I4:J4)</f>
        <v>8.5</v>
      </c>
      <c r="O4" s="6" t="n">
        <f aca="false">MAX(I4:J4)</f>
        <v>12</v>
      </c>
      <c r="P4" s="6" t="n">
        <f aca="false">MIN(I4:J4)</f>
        <v>5</v>
      </c>
      <c r="Q4" s="6" t="str">
        <f aca="false">IF(O4&gt;=50,"VERY","NOT VERY")</f>
        <v>NOT VERY</v>
      </c>
      <c r="T4" s="10"/>
      <c r="U4" s="10" t="s">
        <v>28</v>
      </c>
      <c r="V4" s="10" t="n">
        <f aca="false">AVERAGEIF(A:A,"Surulere",L:L)</f>
        <v>27.5</v>
      </c>
    </row>
    <row r="5" customFormat="false" ht="14.25" hidden="false" customHeight="false" outlineLevel="0" collapsed="false">
      <c r="A5" s="6" t="s">
        <v>17</v>
      </c>
      <c r="B5" s="6" t="s">
        <v>29</v>
      </c>
      <c r="C5" s="6" t="n">
        <v>4</v>
      </c>
      <c r="D5" s="6" t="s">
        <v>27</v>
      </c>
      <c r="E5" s="6" t="s">
        <v>24</v>
      </c>
      <c r="F5" s="6" t="n">
        <v>2016</v>
      </c>
      <c r="G5" s="6" t="n">
        <v>8.9</v>
      </c>
      <c r="H5" s="6" t="n">
        <v>6</v>
      </c>
      <c r="I5" s="6" t="n">
        <v>7</v>
      </c>
      <c r="J5" s="6" t="n">
        <v>24</v>
      </c>
      <c r="K5" s="6"/>
      <c r="L5" s="7" t="n">
        <f aca="false">SUM(I5:J5)</f>
        <v>31</v>
      </c>
      <c r="M5" s="6" t="n">
        <f aca="false">AVERAGE(I5:J5)</f>
        <v>15.5</v>
      </c>
      <c r="N5" s="6" t="n">
        <f aca="false">MEDIAN(I5:J5)</f>
        <v>15.5</v>
      </c>
      <c r="O5" s="6" t="n">
        <f aca="false">MAX(I5:J5)</f>
        <v>24</v>
      </c>
      <c r="P5" s="6" t="n">
        <f aca="false">MIN(I5:J5)</f>
        <v>7</v>
      </c>
      <c r="Q5" s="6" t="str">
        <f aca="false">IF(O5&gt;=50,"VERY","NOT VERY")</f>
        <v>NOT VERY</v>
      </c>
      <c r="T5" s="6"/>
      <c r="U5" s="6" t="s">
        <v>30</v>
      </c>
      <c r="V5" s="6" t="n">
        <f aca="false">AVERAGEIF(A:A,"Yaba",L:L)</f>
        <v>27.4545454545455</v>
      </c>
    </row>
    <row r="6" customFormat="false" ht="14.25" hidden="false" customHeight="false" outlineLevel="0" collapsed="false">
      <c r="A6" s="6" t="s">
        <v>17</v>
      </c>
      <c r="B6" s="6" t="s">
        <v>31</v>
      </c>
      <c r="C6" s="6" t="n">
        <v>5</v>
      </c>
      <c r="D6" s="6" t="s">
        <v>19</v>
      </c>
      <c r="E6" s="6" t="s">
        <v>24</v>
      </c>
      <c r="F6" s="6" t="n">
        <v>2019</v>
      </c>
      <c r="G6" s="6" t="n">
        <v>9.4</v>
      </c>
      <c r="H6" s="6" t="n">
        <v>4</v>
      </c>
      <c r="I6" s="6" t="n">
        <v>4</v>
      </c>
      <c r="J6" s="6" t="n">
        <v>12</v>
      </c>
      <c r="K6" s="6"/>
      <c r="L6" s="7" t="n">
        <f aca="false">SUM(I6:J6)</f>
        <v>16</v>
      </c>
      <c r="M6" s="6" t="n">
        <f aca="false">AVERAGE(I6:J6)</f>
        <v>8</v>
      </c>
      <c r="N6" s="6" t="n">
        <f aca="false">MEDIAN(I6:J6)</f>
        <v>8</v>
      </c>
      <c r="O6" s="6" t="n">
        <f aca="false">MAX(I6:J6)</f>
        <v>12</v>
      </c>
      <c r="P6" s="6" t="n">
        <f aca="false">MIN(I6:J6)</f>
        <v>4</v>
      </c>
      <c r="Q6" s="6" t="str">
        <f aca="false">IF(O6&gt;=50,"VERY","NOT VERY")</f>
        <v>NOT VERY</v>
      </c>
      <c r="T6" s="11"/>
      <c r="U6" s="11"/>
      <c r="V6" s="11"/>
      <c r="W6" s="11"/>
    </row>
    <row r="7" customFormat="false" ht="14.25" hidden="false" customHeight="false" outlineLevel="0" collapsed="false">
      <c r="A7" s="6" t="s">
        <v>17</v>
      </c>
      <c r="B7" s="6" t="s">
        <v>32</v>
      </c>
      <c r="C7" s="6" t="n">
        <v>9</v>
      </c>
      <c r="D7" s="6" t="s">
        <v>27</v>
      </c>
      <c r="E7" s="6" t="s">
        <v>24</v>
      </c>
      <c r="F7" s="6" t="n">
        <v>2020</v>
      </c>
      <c r="G7" s="6" t="n">
        <v>8.3</v>
      </c>
      <c r="H7" s="6" t="n">
        <v>7</v>
      </c>
      <c r="I7" s="6" t="n">
        <v>7</v>
      </c>
      <c r="J7" s="6" t="n">
        <v>28</v>
      </c>
      <c r="K7" s="6"/>
      <c r="L7" s="7" t="n">
        <f aca="false">SUM(I7:J7)</f>
        <v>35</v>
      </c>
      <c r="M7" s="6" t="n">
        <f aca="false">AVERAGE(I7:J7)</f>
        <v>17.5</v>
      </c>
      <c r="N7" s="6" t="n">
        <f aca="false">MEDIAN(I7:J7)</f>
        <v>17.5</v>
      </c>
      <c r="O7" s="6" t="n">
        <f aca="false">MAX(I7:J7)</f>
        <v>28</v>
      </c>
      <c r="P7" s="6" t="n">
        <f aca="false">MIN(I7:J7)</f>
        <v>7</v>
      </c>
      <c r="Q7" s="6" t="str">
        <f aca="false">IF(O7&gt;=50,"VERY","NOT VERY")</f>
        <v>NOT VERY</v>
      </c>
    </row>
    <row r="8" customFormat="false" ht="14.25" hidden="false" customHeight="false" outlineLevel="0" collapsed="false">
      <c r="A8" s="6" t="s">
        <v>17</v>
      </c>
      <c r="B8" s="6" t="s">
        <v>33</v>
      </c>
      <c r="C8" s="6" t="n">
        <v>7</v>
      </c>
      <c r="D8" s="6" t="s">
        <v>19</v>
      </c>
      <c r="E8" s="6" t="s">
        <v>24</v>
      </c>
      <c r="F8" s="6" t="n">
        <v>2017</v>
      </c>
      <c r="G8" s="6" t="n">
        <v>9.2</v>
      </c>
      <c r="H8" s="6" t="n">
        <v>5</v>
      </c>
      <c r="I8" s="6" t="n">
        <v>6</v>
      </c>
      <c r="J8" s="6" t="n">
        <v>25</v>
      </c>
      <c r="K8" s="6"/>
      <c r="L8" s="7" t="n">
        <f aca="false">SUM(I8:J8)</f>
        <v>31</v>
      </c>
      <c r="M8" s="6" t="n">
        <f aca="false">AVERAGE(I8:J8)</f>
        <v>15.5</v>
      </c>
      <c r="N8" s="6" t="n">
        <f aca="false">MEDIAN(I8:J8)</f>
        <v>15.5</v>
      </c>
      <c r="O8" s="6" t="n">
        <f aca="false">MAX(I8:J8)</f>
        <v>25</v>
      </c>
      <c r="P8" s="6" t="n">
        <f aca="false">MIN(I8:J8)</f>
        <v>6</v>
      </c>
      <c r="Q8" s="6" t="str">
        <f aca="false">IF(O8&gt;=50,"VERY","NOT VERY")</f>
        <v>NOT VERY</v>
      </c>
    </row>
    <row r="9" customFormat="false" ht="14.25" hidden="false" customHeight="false" outlineLevel="0" collapsed="false">
      <c r="A9" s="6" t="s">
        <v>17</v>
      </c>
      <c r="B9" s="6" t="s">
        <v>34</v>
      </c>
      <c r="C9" s="6" t="n">
        <v>10</v>
      </c>
      <c r="D9" s="6" t="s">
        <v>27</v>
      </c>
      <c r="E9" s="6" t="s">
        <v>20</v>
      </c>
      <c r="F9" s="6" t="n">
        <v>2023</v>
      </c>
      <c r="G9" s="6" t="n">
        <v>8.9</v>
      </c>
      <c r="H9" s="6" t="n">
        <v>2</v>
      </c>
      <c r="I9" s="6" t="n">
        <v>5</v>
      </c>
      <c r="J9" s="6" t="n">
        <v>8</v>
      </c>
      <c r="K9" s="6"/>
      <c r="L9" s="7" t="n">
        <f aca="false">SUM(I9:J9)</f>
        <v>13</v>
      </c>
      <c r="M9" s="6" t="n">
        <f aca="false">AVERAGE(I9:J9)</f>
        <v>6.5</v>
      </c>
      <c r="N9" s="6" t="n">
        <f aca="false">MEDIAN(I9:J9)</f>
        <v>6.5</v>
      </c>
      <c r="O9" s="6" t="n">
        <f aca="false">MAX(I9:J9)</f>
        <v>8</v>
      </c>
      <c r="P9" s="6" t="n">
        <f aca="false">MIN(I9:J9)</f>
        <v>5</v>
      </c>
      <c r="Q9" s="6" t="str">
        <f aca="false">IF(O9&gt;=50,"VERY","NOT VERY")</f>
        <v>NOT VERY</v>
      </c>
    </row>
    <row r="10" customFormat="false" ht="14.25" hidden="false" customHeight="false" outlineLevel="0" collapsed="false">
      <c r="A10" s="6" t="s">
        <v>17</v>
      </c>
      <c r="B10" s="6" t="s">
        <v>35</v>
      </c>
      <c r="C10" s="6" t="n">
        <v>8</v>
      </c>
      <c r="D10" s="6" t="s">
        <v>19</v>
      </c>
      <c r="E10" s="6" t="s">
        <v>24</v>
      </c>
      <c r="F10" s="6" t="n">
        <v>2016</v>
      </c>
      <c r="G10" s="6" t="n">
        <v>6.4</v>
      </c>
      <c r="H10" s="6" t="n">
        <v>10</v>
      </c>
      <c r="I10" s="6" t="n">
        <v>11</v>
      </c>
      <c r="J10" s="6" t="n">
        <v>50</v>
      </c>
      <c r="K10" s="6"/>
      <c r="L10" s="7" t="n">
        <f aca="false">SUM(I10:J10)</f>
        <v>61</v>
      </c>
      <c r="M10" s="6" t="n">
        <f aca="false">AVERAGE(I10:J10)</f>
        <v>30.5</v>
      </c>
      <c r="N10" s="6" t="n">
        <f aca="false">MEDIAN(I10:J10)</f>
        <v>30.5</v>
      </c>
      <c r="O10" s="6" t="n">
        <f aca="false">MAX(I10:J10)</f>
        <v>50</v>
      </c>
      <c r="P10" s="6" t="n">
        <f aca="false">MIN(I10:J10)</f>
        <v>11</v>
      </c>
      <c r="Q10" s="6" t="str">
        <f aca="false">IF(O10&gt;=50,"VERY","NOT VERY")</f>
        <v>VERY</v>
      </c>
    </row>
    <row r="11" customFormat="false" ht="14.25" hidden="false" customHeight="false" outlineLevel="0" collapsed="false">
      <c r="A11" s="6" t="s">
        <v>17</v>
      </c>
      <c r="B11" s="6" t="s">
        <v>36</v>
      </c>
      <c r="C11" s="6" t="n">
        <v>8</v>
      </c>
      <c r="D11" s="6" t="s">
        <v>27</v>
      </c>
      <c r="E11" s="6" t="s">
        <v>24</v>
      </c>
      <c r="F11" s="6" t="n">
        <v>2019</v>
      </c>
      <c r="G11" s="6" t="n">
        <v>9.3</v>
      </c>
      <c r="H11" s="6" t="n">
        <v>5</v>
      </c>
      <c r="I11" s="6" t="n">
        <v>5</v>
      </c>
      <c r="J11" s="6" t="n">
        <v>25</v>
      </c>
      <c r="K11" s="6"/>
      <c r="L11" s="7" t="n">
        <f aca="false">SUM(I11:J11)</f>
        <v>30</v>
      </c>
      <c r="M11" s="6" t="n">
        <f aca="false">AVERAGE(I11:J11)</f>
        <v>15</v>
      </c>
      <c r="N11" s="6" t="n">
        <f aca="false">MEDIAN(I11:J11)</f>
        <v>15</v>
      </c>
      <c r="O11" s="6" t="n">
        <f aca="false">MAX(I11:J11)</f>
        <v>25</v>
      </c>
      <c r="P11" s="6" t="n">
        <f aca="false">MIN(I11:J11)</f>
        <v>5</v>
      </c>
      <c r="Q11" s="6" t="str">
        <f aca="false">IF(O11&gt;=50,"VERY","NOT VERY")</f>
        <v>NOT VERY</v>
      </c>
    </row>
    <row r="12" customFormat="false" ht="14.25" hidden="false" customHeight="false" outlineLevel="0" collapsed="false">
      <c r="A12" s="6" t="s">
        <v>17</v>
      </c>
      <c r="B12" s="6" t="s">
        <v>37</v>
      </c>
      <c r="C12" s="6" t="n">
        <v>15</v>
      </c>
      <c r="D12" s="6" t="s">
        <v>19</v>
      </c>
      <c r="E12" s="6" t="s">
        <v>24</v>
      </c>
      <c r="F12" s="6" t="n">
        <v>2015</v>
      </c>
      <c r="G12" s="6" t="n">
        <v>7.2</v>
      </c>
      <c r="H12" s="6" t="n">
        <v>8</v>
      </c>
      <c r="I12" s="6" t="n">
        <v>10</v>
      </c>
      <c r="J12" s="6" t="n">
        <v>16</v>
      </c>
      <c r="K12" s="6"/>
      <c r="L12" s="7" t="n">
        <f aca="false">SUM(I12:J12)</f>
        <v>26</v>
      </c>
      <c r="M12" s="6" t="n">
        <f aca="false">AVERAGE(I12:J12)</f>
        <v>13</v>
      </c>
      <c r="N12" s="6" t="n">
        <f aca="false">MEDIAN(I12:J12)</f>
        <v>13</v>
      </c>
      <c r="O12" s="6" t="n">
        <f aca="false">MAX(I12:J12)</f>
        <v>16</v>
      </c>
      <c r="P12" s="6" t="n">
        <f aca="false">MIN(I12:J12)</f>
        <v>10</v>
      </c>
      <c r="Q12" s="6" t="str">
        <f aca="false">IF(O12&gt;=50,"VERY","NOT VERY")</f>
        <v>NOT VERY</v>
      </c>
    </row>
    <row r="13" customFormat="false" ht="14.25" hidden="false" customHeight="false" outlineLevel="0" collapsed="false">
      <c r="A13" s="6" t="s">
        <v>17</v>
      </c>
      <c r="B13" s="6" t="s">
        <v>38</v>
      </c>
      <c r="C13" s="6" t="n">
        <v>5</v>
      </c>
      <c r="D13" s="6" t="s">
        <v>27</v>
      </c>
      <c r="E13" s="6" t="s">
        <v>20</v>
      </c>
      <c r="F13" s="6" t="n">
        <v>2021</v>
      </c>
      <c r="G13" s="6" t="n">
        <v>8.9</v>
      </c>
      <c r="H13" s="6" t="n">
        <v>2</v>
      </c>
      <c r="I13" s="6" t="n">
        <v>4</v>
      </c>
      <c r="J13" s="6" t="n">
        <v>4</v>
      </c>
      <c r="K13" s="6"/>
      <c r="L13" s="7" t="n">
        <f aca="false">SUM(I13:J13)</f>
        <v>8</v>
      </c>
      <c r="M13" s="6" t="n">
        <f aca="false">AVERAGE(I13:J13)</f>
        <v>4</v>
      </c>
      <c r="N13" s="6" t="n">
        <f aca="false">MEDIAN(I13:J13)</f>
        <v>4</v>
      </c>
      <c r="O13" s="6" t="n">
        <f aca="false">MAX(I13:J13)</f>
        <v>4</v>
      </c>
      <c r="P13" s="6" t="n">
        <f aca="false">MIN(I13:J13)</f>
        <v>4</v>
      </c>
      <c r="Q13" s="6" t="str">
        <f aca="false">IF(O13&gt;=50,"VERY","NOT VERY")</f>
        <v>NOT VERY</v>
      </c>
    </row>
    <row r="14" customFormat="false" ht="14.25" hidden="false" customHeight="false" outlineLevel="0" collapsed="false">
      <c r="A14" s="6" t="s">
        <v>17</v>
      </c>
      <c r="B14" s="6" t="s">
        <v>39</v>
      </c>
      <c r="C14" s="6" t="n">
        <v>11</v>
      </c>
      <c r="D14" s="6" t="s">
        <v>27</v>
      </c>
      <c r="E14" s="6" t="s">
        <v>24</v>
      </c>
      <c r="F14" s="6" t="n">
        <v>2019</v>
      </c>
      <c r="G14" s="6" t="n">
        <v>6.5</v>
      </c>
      <c r="H14" s="6" t="n">
        <v>6</v>
      </c>
      <c r="I14" s="6" t="n">
        <v>9</v>
      </c>
      <c r="J14" s="6" t="n">
        <v>18</v>
      </c>
      <c r="K14" s="6"/>
      <c r="L14" s="7" t="n">
        <f aca="false">SUM(I14:J14)</f>
        <v>27</v>
      </c>
      <c r="M14" s="6" t="n">
        <f aca="false">AVERAGE(I14:J14)</f>
        <v>13.5</v>
      </c>
      <c r="N14" s="6" t="n">
        <f aca="false">MEDIAN(I14:J14)</f>
        <v>13.5</v>
      </c>
      <c r="O14" s="6" t="n">
        <f aca="false">MAX(I14:J14)</f>
        <v>18</v>
      </c>
      <c r="P14" s="6" t="n">
        <f aca="false">MIN(I14:J14)</f>
        <v>9</v>
      </c>
      <c r="Q14" s="6" t="str">
        <f aca="false">IF(O14&gt;=50,"VERY","NOT VERY")</f>
        <v>NOT VERY</v>
      </c>
    </row>
    <row r="15" customFormat="false" ht="14.25" hidden="false" customHeight="false" outlineLevel="0" collapsed="false">
      <c r="A15" s="6" t="s">
        <v>17</v>
      </c>
      <c r="B15" s="6" t="s">
        <v>40</v>
      </c>
      <c r="C15" s="6" t="n">
        <v>9</v>
      </c>
      <c r="D15" s="6" t="s">
        <v>19</v>
      </c>
      <c r="E15" s="6" t="s">
        <v>24</v>
      </c>
      <c r="F15" s="6" t="n">
        <v>2020</v>
      </c>
      <c r="G15" s="6" t="n">
        <v>7</v>
      </c>
      <c r="H15" s="6" t="n">
        <v>9</v>
      </c>
      <c r="I15" s="6" t="n">
        <v>9</v>
      </c>
      <c r="J15" s="6" t="n">
        <v>36</v>
      </c>
      <c r="K15" s="6"/>
      <c r="L15" s="7" t="n">
        <f aca="false">SUM(I15:J15)</f>
        <v>45</v>
      </c>
      <c r="M15" s="6" t="n">
        <f aca="false">AVERAGE(I15:J15)</f>
        <v>22.5</v>
      </c>
      <c r="N15" s="6" t="n">
        <f aca="false">MEDIAN(I15:J15)</f>
        <v>22.5</v>
      </c>
      <c r="O15" s="6" t="n">
        <f aca="false">MAX(I15:J15)</f>
        <v>36</v>
      </c>
      <c r="P15" s="6" t="n">
        <f aca="false">MIN(I15:J15)</f>
        <v>9</v>
      </c>
      <c r="Q15" s="6" t="str">
        <f aca="false">IF(O15&gt;=50,"VERY","NOT VERY")</f>
        <v>NOT VERY</v>
      </c>
    </row>
    <row r="16" customFormat="false" ht="14.25" hidden="false" customHeight="false" outlineLevel="0" collapsed="false">
      <c r="A16" s="6" t="s">
        <v>17</v>
      </c>
      <c r="B16" s="6" t="s">
        <v>41</v>
      </c>
      <c r="C16" s="6" t="n">
        <v>10</v>
      </c>
      <c r="D16" s="6" t="s">
        <v>27</v>
      </c>
      <c r="E16" s="6" t="s">
        <v>24</v>
      </c>
      <c r="F16" s="6" t="n">
        <v>2019</v>
      </c>
      <c r="G16" s="6" t="n">
        <v>6.2</v>
      </c>
      <c r="H16" s="6" t="n">
        <v>6</v>
      </c>
      <c r="I16" s="6" t="n">
        <v>7</v>
      </c>
      <c r="J16" s="6" t="n">
        <v>24</v>
      </c>
      <c r="K16" s="6"/>
      <c r="L16" s="7" t="n">
        <f aca="false">SUM(I16:J16)</f>
        <v>31</v>
      </c>
      <c r="M16" s="6" t="n">
        <f aca="false">AVERAGE(I16:J16)</f>
        <v>15.5</v>
      </c>
      <c r="N16" s="6" t="n">
        <f aca="false">MEDIAN(I16:J16)</f>
        <v>15.5</v>
      </c>
      <c r="O16" s="6" t="n">
        <f aca="false">MAX(I16:J16)</f>
        <v>24</v>
      </c>
      <c r="P16" s="6" t="n">
        <f aca="false">MIN(I16:J16)</f>
        <v>7</v>
      </c>
      <c r="Q16" s="6" t="str">
        <f aca="false">IF(O16&gt;=50,"VERY","NOT VERY")</f>
        <v>NOT VERY</v>
      </c>
    </row>
    <row r="17" customFormat="false" ht="14.25" hidden="false" customHeight="false" outlineLevel="0" collapsed="false">
      <c r="A17" s="6" t="s">
        <v>17</v>
      </c>
      <c r="B17" s="6" t="s">
        <v>42</v>
      </c>
      <c r="C17" s="6" t="n">
        <v>3</v>
      </c>
      <c r="D17" s="6" t="s">
        <v>19</v>
      </c>
      <c r="E17" s="6" t="s">
        <v>24</v>
      </c>
      <c r="F17" s="6" t="n">
        <v>2015</v>
      </c>
      <c r="G17" s="6" t="n">
        <v>6.2</v>
      </c>
      <c r="H17" s="6" t="n">
        <v>9</v>
      </c>
      <c r="I17" s="6" t="n">
        <v>10</v>
      </c>
      <c r="J17" s="6" t="n">
        <v>18</v>
      </c>
      <c r="K17" s="6"/>
      <c r="L17" s="7" t="n">
        <f aca="false">SUM(I17:J17)</f>
        <v>28</v>
      </c>
      <c r="M17" s="6" t="n">
        <f aca="false">AVERAGE(I17:J17)</f>
        <v>14</v>
      </c>
      <c r="N17" s="6" t="n">
        <f aca="false">MEDIAN(I17:J17)</f>
        <v>14</v>
      </c>
      <c r="O17" s="6" t="n">
        <f aca="false">MAX(I17:J17)</f>
        <v>18</v>
      </c>
      <c r="P17" s="6" t="n">
        <f aca="false">MIN(I17:J17)</f>
        <v>10</v>
      </c>
      <c r="Q17" s="6" t="str">
        <f aca="false">IF(O17&gt;=50,"VERY","NOT VERY")</f>
        <v>NOT VERY</v>
      </c>
    </row>
    <row r="18" customFormat="false" ht="14.25" hidden="false" customHeight="false" outlineLevel="0" collapsed="false">
      <c r="A18" s="6" t="s">
        <v>17</v>
      </c>
      <c r="B18" s="6" t="s">
        <v>43</v>
      </c>
      <c r="C18" s="6" t="n">
        <v>4</v>
      </c>
      <c r="D18" s="6" t="s">
        <v>27</v>
      </c>
      <c r="E18" s="6" t="s">
        <v>20</v>
      </c>
      <c r="F18" s="6" t="n">
        <v>2021</v>
      </c>
      <c r="G18" s="6" t="n">
        <v>9</v>
      </c>
      <c r="H18" s="6" t="n">
        <v>4</v>
      </c>
      <c r="I18" s="6" t="n">
        <v>5</v>
      </c>
      <c r="J18" s="6" t="n">
        <v>20</v>
      </c>
      <c r="K18" s="6"/>
      <c r="L18" s="7" t="n">
        <f aca="false">SUM(I18:J18)</f>
        <v>25</v>
      </c>
      <c r="M18" s="6" t="n">
        <f aca="false">AVERAGE(I18:J18)</f>
        <v>12.5</v>
      </c>
      <c r="N18" s="6" t="n">
        <f aca="false">MEDIAN(I18:J18)</f>
        <v>12.5</v>
      </c>
      <c r="O18" s="6" t="n">
        <f aca="false">MAX(I18:J18)</f>
        <v>20</v>
      </c>
      <c r="P18" s="6" t="n">
        <f aca="false">MIN(I18:J18)</f>
        <v>5</v>
      </c>
      <c r="Q18" s="6" t="str">
        <f aca="false">IF(O18&gt;=50,"VERY","NOT VERY")</f>
        <v>NOT VERY</v>
      </c>
    </row>
    <row r="19" customFormat="false" ht="14.25" hidden="false" customHeight="false" outlineLevel="0" collapsed="false">
      <c r="A19" s="6" t="s">
        <v>17</v>
      </c>
      <c r="B19" s="6" t="s">
        <v>44</v>
      </c>
      <c r="C19" s="6" t="n">
        <v>13</v>
      </c>
      <c r="D19" s="6" t="s">
        <v>19</v>
      </c>
      <c r="E19" s="6" t="s">
        <v>24</v>
      </c>
      <c r="F19" s="6" t="n">
        <v>2016</v>
      </c>
      <c r="G19" s="6" t="n">
        <v>7.6</v>
      </c>
      <c r="H19" s="6" t="n">
        <v>8</v>
      </c>
      <c r="I19" s="6" t="n">
        <v>11</v>
      </c>
      <c r="J19" s="6" t="n">
        <v>40</v>
      </c>
      <c r="K19" s="6"/>
      <c r="L19" s="7" t="n">
        <f aca="false">SUM(I19:J19)</f>
        <v>51</v>
      </c>
      <c r="M19" s="6" t="n">
        <f aca="false">AVERAGE(I19:J19)</f>
        <v>25.5</v>
      </c>
      <c r="N19" s="6" t="n">
        <f aca="false">MEDIAN(I19:J19)</f>
        <v>25.5</v>
      </c>
      <c r="O19" s="6" t="n">
        <f aca="false">MAX(I19:J19)</f>
        <v>40</v>
      </c>
      <c r="P19" s="6" t="n">
        <f aca="false">MIN(I19:J19)</f>
        <v>11</v>
      </c>
      <c r="Q19" s="6" t="str">
        <f aca="false">IF(O19&gt;=50,"VERY","NOT VERY")</f>
        <v>NOT VERY</v>
      </c>
    </row>
    <row r="20" customFormat="false" ht="14.25" hidden="false" customHeight="false" outlineLevel="0" collapsed="false">
      <c r="A20" s="6" t="s">
        <v>17</v>
      </c>
      <c r="B20" s="6" t="s">
        <v>45</v>
      </c>
      <c r="C20" s="6" t="n">
        <v>9</v>
      </c>
      <c r="D20" s="6" t="s">
        <v>27</v>
      </c>
      <c r="E20" s="6" t="s">
        <v>24</v>
      </c>
      <c r="F20" s="6" t="n">
        <v>2021</v>
      </c>
      <c r="G20" s="6" t="n">
        <v>6.5</v>
      </c>
      <c r="H20" s="6" t="n">
        <v>3</v>
      </c>
      <c r="I20" s="6" t="n">
        <v>6</v>
      </c>
      <c r="J20" s="6" t="n">
        <v>12</v>
      </c>
      <c r="K20" s="6"/>
      <c r="L20" s="7" t="n">
        <f aca="false">SUM(I20:J20)</f>
        <v>18</v>
      </c>
      <c r="M20" s="6" t="n">
        <f aca="false">AVERAGE(I20:J20)</f>
        <v>9</v>
      </c>
      <c r="N20" s="6" t="n">
        <f aca="false">MEDIAN(I20:J20)</f>
        <v>9</v>
      </c>
      <c r="O20" s="6" t="n">
        <f aca="false">MAX(I20:J20)</f>
        <v>12</v>
      </c>
      <c r="P20" s="6" t="n">
        <f aca="false">MIN(I20:J20)</f>
        <v>6</v>
      </c>
      <c r="Q20" s="6" t="str">
        <f aca="false">IF(O20&gt;=50,"VERY","NOT VERY")</f>
        <v>NOT VERY</v>
      </c>
    </row>
    <row r="21" customFormat="false" ht="14.25" hidden="false" customHeight="false" outlineLevel="0" collapsed="false">
      <c r="A21" s="6" t="s">
        <v>17</v>
      </c>
      <c r="B21" s="6" t="s">
        <v>46</v>
      </c>
      <c r="C21" s="6" t="n">
        <v>12</v>
      </c>
      <c r="D21" s="6" t="s">
        <v>27</v>
      </c>
      <c r="E21" s="6" t="s">
        <v>24</v>
      </c>
      <c r="F21" s="6" t="n">
        <v>2016</v>
      </c>
      <c r="G21" s="6" t="n">
        <v>8.5</v>
      </c>
      <c r="H21" s="6" t="n">
        <v>7</v>
      </c>
      <c r="I21" s="6" t="n">
        <v>7</v>
      </c>
      <c r="J21" s="6" t="n">
        <v>35</v>
      </c>
      <c r="K21" s="6"/>
      <c r="L21" s="7" t="n">
        <f aca="false">SUM(I21:J21)</f>
        <v>42</v>
      </c>
      <c r="M21" s="6" t="n">
        <f aca="false">AVERAGE(I21:J21)</f>
        <v>21</v>
      </c>
      <c r="N21" s="6" t="n">
        <f aca="false">MEDIAN(I21:J21)</f>
        <v>21</v>
      </c>
      <c r="O21" s="6" t="n">
        <f aca="false">MAX(I21:J21)</f>
        <v>35</v>
      </c>
      <c r="P21" s="6" t="n">
        <f aca="false">MIN(I21:J21)</f>
        <v>7</v>
      </c>
      <c r="Q21" s="6" t="str">
        <f aca="false">IF(O21&gt;=50,"VERY","NOT VERY")</f>
        <v>NOT VERY</v>
      </c>
    </row>
    <row r="22" customFormat="false" ht="14.25" hidden="false" customHeight="false" outlineLevel="0" collapsed="false">
      <c r="A22" s="6" t="s">
        <v>17</v>
      </c>
      <c r="B22" s="6" t="s">
        <v>47</v>
      </c>
      <c r="C22" s="6" t="n">
        <v>10</v>
      </c>
      <c r="D22" s="6" t="s">
        <v>19</v>
      </c>
      <c r="E22" s="6" t="s">
        <v>20</v>
      </c>
      <c r="F22" s="6" t="n">
        <v>2020</v>
      </c>
      <c r="G22" s="6" t="n">
        <v>10.6</v>
      </c>
      <c r="H22" s="6" t="n">
        <v>4</v>
      </c>
      <c r="I22" s="6" t="n">
        <v>7</v>
      </c>
      <c r="J22" s="6" t="n">
        <v>20</v>
      </c>
      <c r="K22" s="6"/>
      <c r="L22" s="7" t="n">
        <f aca="false">SUM(I22:J22)</f>
        <v>27</v>
      </c>
      <c r="M22" s="6" t="n">
        <f aca="false">AVERAGE(I22:J22)</f>
        <v>13.5</v>
      </c>
      <c r="N22" s="6" t="n">
        <f aca="false">MEDIAN(I22:J22)</f>
        <v>13.5</v>
      </c>
      <c r="O22" s="6" t="n">
        <f aca="false">MAX(I22:J22)</f>
        <v>20</v>
      </c>
      <c r="P22" s="6" t="n">
        <f aca="false">MIN(I22:J22)</f>
        <v>7</v>
      </c>
      <c r="Q22" s="6" t="str">
        <f aca="false">IF(O22&gt;=50,"VERY","NOT VERY")</f>
        <v>NOT VERY</v>
      </c>
    </row>
    <row r="23" customFormat="false" ht="14.25" hidden="false" customHeight="false" outlineLevel="0" collapsed="false">
      <c r="A23" s="6" t="s">
        <v>17</v>
      </c>
      <c r="B23" s="6" t="s">
        <v>48</v>
      </c>
      <c r="C23" s="6" t="n">
        <v>10</v>
      </c>
      <c r="D23" s="6" t="s">
        <v>19</v>
      </c>
      <c r="E23" s="6" t="s">
        <v>20</v>
      </c>
      <c r="F23" s="6" t="n">
        <v>2022</v>
      </c>
      <c r="G23" s="6" t="n">
        <v>10.6</v>
      </c>
      <c r="H23" s="6" t="n">
        <v>4</v>
      </c>
      <c r="I23" s="6" t="n">
        <v>7</v>
      </c>
      <c r="J23" s="6" t="n">
        <v>12</v>
      </c>
      <c r="K23" s="6"/>
      <c r="L23" s="7" t="n">
        <f aca="false">SUM(I23:J23)</f>
        <v>19</v>
      </c>
      <c r="M23" s="6" t="n">
        <f aca="false">AVERAGE(I23:J23)</f>
        <v>9.5</v>
      </c>
      <c r="N23" s="6" t="n">
        <f aca="false">MEDIAN(I23:J23)</f>
        <v>9.5</v>
      </c>
      <c r="O23" s="6" t="n">
        <f aca="false">MAX(I23:J23)</f>
        <v>12</v>
      </c>
      <c r="P23" s="6" t="n">
        <f aca="false">MIN(I23:J23)</f>
        <v>7</v>
      </c>
      <c r="Q23" s="6" t="str">
        <f aca="false">IF(O23&gt;=50,"VERY","NOT VERY")</f>
        <v>NOT VERY</v>
      </c>
    </row>
    <row r="24" customFormat="false" ht="14.25" hidden="false" customHeight="false" outlineLevel="0" collapsed="false">
      <c r="A24" s="6" t="s">
        <v>17</v>
      </c>
      <c r="B24" s="6" t="s">
        <v>49</v>
      </c>
      <c r="C24" s="6" t="n">
        <v>6</v>
      </c>
      <c r="D24" s="6" t="s">
        <v>27</v>
      </c>
      <c r="E24" s="6" t="s">
        <v>20</v>
      </c>
      <c r="F24" s="6" t="n">
        <v>2022</v>
      </c>
      <c r="G24" s="6" t="n">
        <v>10.9</v>
      </c>
      <c r="H24" s="6" t="n">
        <v>0</v>
      </c>
      <c r="I24" s="6" t="n">
        <v>3</v>
      </c>
      <c r="J24" s="6" t="n">
        <v>0</v>
      </c>
      <c r="K24" s="6"/>
      <c r="L24" s="7" t="n">
        <f aca="false">SUM(I24:J24)</f>
        <v>3</v>
      </c>
      <c r="M24" s="6" t="n">
        <f aca="false">AVERAGE(I24:J24)</f>
        <v>1.5</v>
      </c>
      <c r="N24" s="6" t="n">
        <f aca="false">MEDIAN(I24:J24)</f>
        <v>1.5</v>
      </c>
      <c r="O24" s="6" t="n">
        <f aca="false">MAX(I24:J24)</f>
        <v>3</v>
      </c>
      <c r="P24" s="6" t="n">
        <f aca="false">MIN(I24:J24)</f>
        <v>0</v>
      </c>
      <c r="Q24" s="6" t="str">
        <f aca="false">IF(O24&gt;=50,"VERY","NOT VERY")</f>
        <v>NOT VERY</v>
      </c>
    </row>
    <row r="25" customFormat="false" ht="14.25" hidden="false" customHeight="false" outlineLevel="0" collapsed="false">
      <c r="A25" s="6" t="s">
        <v>17</v>
      </c>
      <c r="B25" s="6" t="s">
        <v>50</v>
      </c>
      <c r="C25" s="6" t="n">
        <v>15</v>
      </c>
      <c r="D25" s="6" t="s">
        <v>27</v>
      </c>
      <c r="E25" s="6" t="s">
        <v>24</v>
      </c>
      <c r="F25" s="6" t="n">
        <v>2016</v>
      </c>
      <c r="G25" s="6" t="n">
        <v>6.7</v>
      </c>
      <c r="H25" s="6" t="n">
        <v>10</v>
      </c>
      <c r="I25" s="6" t="n">
        <v>13</v>
      </c>
      <c r="J25" s="6" t="n">
        <v>50</v>
      </c>
      <c r="K25" s="6"/>
      <c r="L25" s="7" t="n">
        <f aca="false">SUM(I25:J25)</f>
        <v>63</v>
      </c>
      <c r="M25" s="6" t="n">
        <f aca="false">AVERAGE(I25:J25)</f>
        <v>31.5</v>
      </c>
      <c r="N25" s="6" t="n">
        <f aca="false">MEDIAN(I25:J25)</f>
        <v>31.5</v>
      </c>
      <c r="O25" s="6" t="n">
        <f aca="false">MAX(I25:J25)</f>
        <v>50</v>
      </c>
      <c r="P25" s="6" t="n">
        <f aca="false">MIN(I25:J25)</f>
        <v>13</v>
      </c>
      <c r="Q25" s="6" t="str">
        <f aca="false">IF(O25&gt;=50,"VERY","NOT VERY")</f>
        <v>VERY</v>
      </c>
    </row>
    <row r="26" customFormat="false" ht="14.25" hidden="false" customHeight="false" outlineLevel="0" collapsed="false">
      <c r="A26" s="6" t="s">
        <v>17</v>
      </c>
      <c r="B26" s="6" t="s">
        <v>51</v>
      </c>
      <c r="C26" s="6" t="n">
        <v>4</v>
      </c>
      <c r="D26" s="6" t="s">
        <v>27</v>
      </c>
      <c r="E26" s="6" t="s">
        <v>20</v>
      </c>
      <c r="F26" s="6" t="n">
        <v>2023</v>
      </c>
      <c r="G26" s="6" t="n">
        <v>10.6</v>
      </c>
      <c r="H26" s="6" t="n">
        <v>4</v>
      </c>
      <c r="I26" s="6" t="n">
        <v>5</v>
      </c>
      <c r="J26" s="6" t="n">
        <v>8</v>
      </c>
      <c r="K26" s="6"/>
      <c r="L26" s="7" t="n">
        <f aca="false">SUM(I26:J26)</f>
        <v>13</v>
      </c>
      <c r="M26" s="6" t="n">
        <f aca="false">AVERAGE(I26:J26)</f>
        <v>6.5</v>
      </c>
      <c r="N26" s="6" t="n">
        <f aca="false">MEDIAN(I26:J26)</f>
        <v>6.5</v>
      </c>
      <c r="O26" s="6" t="n">
        <f aca="false">MAX(I26:J26)</f>
        <v>8</v>
      </c>
      <c r="P26" s="6" t="n">
        <f aca="false">MIN(I26:J26)</f>
        <v>5</v>
      </c>
      <c r="Q26" s="6" t="str">
        <f aca="false">IF(O26&gt;=50,"VERY","NOT VERY")</f>
        <v>NOT VERY</v>
      </c>
    </row>
    <row r="27" customFormat="false" ht="14.25" hidden="false" customHeight="false" outlineLevel="0" collapsed="false">
      <c r="A27" s="6" t="s">
        <v>17</v>
      </c>
      <c r="B27" s="6" t="s">
        <v>52</v>
      </c>
      <c r="C27" s="6" t="n">
        <v>13</v>
      </c>
      <c r="D27" s="6" t="s">
        <v>19</v>
      </c>
      <c r="E27" s="6" t="s">
        <v>24</v>
      </c>
      <c r="F27" s="6" t="n">
        <v>2022</v>
      </c>
      <c r="G27" s="6" t="n">
        <v>8.8</v>
      </c>
      <c r="H27" s="6" t="n">
        <v>5</v>
      </c>
      <c r="I27" s="6" t="n">
        <v>5</v>
      </c>
      <c r="J27" s="6" t="n">
        <v>25</v>
      </c>
      <c r="K27" s="6"/>
      <c r="L27" s="7" t="n">
        <f aca="false">SUM(I27:J27)</f>
        <v>30</v>
      </c>
      <c r="M27" s="6" t="n">
        <f aca="false">AVERAGE(I27:J27)</f>
        <v>15</v>
      </c>
      <c r="N27" s="6" t="n">
        <f aca="false">MEDIAN(I27:J27)</f>
        <v>15</v>
      </c>
      <c r="O27" s="6" t="n">
        <f aca="false">MAX(I27:J27)</f>
        <v>25</v>
      </c>
      <c r="P27" s="6" t="n">
        <f aca="false">MIN(I27:J27)</f>
        <v>5</v>
      </c>
      <c r="Q27" s="6" t="str">
        <f aca="false">IF(O27&gt;=50,"VERY","NOT VERY")</f>
        <v>NOT VERY</v>
      </c>
    </row>
    <row r="28" customFormat="false" ht="14.25" hidden="false" customHeight="false" outlineLevel="0" collapsed="false">
      <c r="A28" s="6" t="s">
        <v>17</v>
      </c>
      <c r="B28" s="6" t="s">
        <v>53</v>
      </c>
      <c r="C28" s="6" t="n">
        <v>14</v>
      </c>
      <c r="D28" s="6" t="s">
        <v>19</v>
      </c>
      <c r="E28" s="6" t="s">
        <v>20</v>
      </c>
      <c r="F28" s="6" t="n">
        <v>2016</v>
      </c>
      <c r="G28" s="6" t="n">
        <v>10.2</v>
      </c>
      <c r="H28" s="6" t="n">
        <v>1</v>
      </c>
      <c r="I28" s="6" t="n">
        <v>4</v>
      </c>
      <c r="J28" s="6" t="n">
        <v>3</v>
      </c>
      <c r="K28" s="6"/>
      <c r="L28" s="7" t="n">
        <f aca="false">SUM(I28:J28)</f>
        <v>7</v>
      </c>
      <c r="M28" s="6" t="n">
        <f aca="false">AVERAGE(I28:J28)</f>
        <v>3.5</v>
      </c>
      <c r="N28" s="6" t="n">
        <f aca="false">MEDIAN(I28:J28)</f>
        <v>3.5</v>
      </c>
      <c r="O28" s="6" t="n">
        <f aca="false">MAX(I28:J28)</f>
        <v>4</v>
      </c>
      <c r="P28" s="6" t="n">
        <f aca="false">MIN(I28:J28)</f>
        <v>3</v>
      </c>
      <c r="Q28" s="6" t="str">
        <f aca="false">IF(O28&gt;=50,"VERY","NOT VERY")</f>
        <v>NOT VERY</v>
      </c>
    </row>
    <row r="29" customFormat="false" ht="14.25" hidden="false" customHeight="false" outlineLevel="0" collapsed="false">
      <c r="A29" s="6" t="s">
        <v>17</v>
      </c>
      <c r="B29" s="6" t="s">
        <v>54</v>
      </c>
      <c r="C29" s="6" t="n">
        <v>7</v>
      </c>
      <c r="D29" s="6" t="s">
        <v>27</v>
      </c>
      <c r="E29" s="6" t="s">
        <v>20</v>
      </c>
      <c r="F29" s="6" t="n">
        <v>2021</v>
      </c>
      <c r="G29" s="6" t="n">
        <v>8.6</v>
      </c>
      <c r="H29" s="6" t="n">
        <v>1</v>
      </c>
      <c r="I29" s="6" t="n">
        <v>2</v>
      </c>
      <c r="J29" s="6" t="n">
        <v>5</v>
      </c>
      <c r="K29" s="6"/>
      <c r="L29" s="7" t="n">
        <f aca="false">SUM(I29:J29)</f>
        <v>7</v>
      </c>
      <c r="M29" s="6" t="n">
        <f aca="false">AVERAGE(I29:J29)</f>
        <v>3.5</v>
      </c>
      <c r="N29" s="6" t="n">
        <f aca="false">MEDIAN(I29:J29)</f>
        <v>3.5</v>
      </c>
      <c r="O29" s="6" t="n">
        <f aca="false">MAX(I29:J29)</f>
        <v>5</v>
      </c>
      <c r="P29" s="6" t="n">
        <f aca="false">MIN(I29:J29)</f>
        <v>2</v>
      </c>
      <c r="Q29" s="6" t="str">
        <f aca="false">IF(O29&gt;=50,"VERY","NOT VERY")</f>
        <v>NOT VERY</v>
      </c>
    </row>
    <row r="30" customFormat="false" ht="14.25" hidden="false" customHeight="false" outlineLevel="0" collapsed="false">
      <c r="A30" s="6" t="s">
        <v>17</v>
      </c>
      <c r="B30" s="6" t="s">
        <v>55</v>
      </c>
      <c r="C30" s="6" t="n">
        <v>8</v>
      </c>
      <c r="D30" s="6" t="s">
        <v>27</v>
      </c>
      <c r="E30" s="6" t="s">
        <v>24</v>
      </c>
      <c r="F30" s="6" t="n">
        <v>2021</v>
      </c>
      <c r="G30" s="6" t="n">
        <v>6.1</v>
      </c>
      <c r="H30" s="6" t="n">
        <v>10</v>
      </c>
      <c r="I30" s="6" t="n">
        <v>11</v>
      </c>
      <c r="J30" s="6" t="n">
        <v>30</v>
      </c>
      <c r="K30" s="6"/>
      <c r="L30" s="7" t="n">
        <f aca="false">SUM(I30:J30)</f>
        <v>41</v>
      </c>
      <c r="M30" s="6" t="n">
        <f aca="false">AVERAGE(I30:J30)</f>
        <v>20.5</v>
      </c>
      <c r="N30" s="6" t="n">
        <f aca="false">MEDIAN(I30:J30)</f>
        <v>20.5</v>
      </c>
      <c r="O30" s="6" t="n">
        <f aca="false">MAX(I30:J30)</f>
        <v>30</v>
      </c>
      <c r="P30" s="6" t="n">
        <f aca="false">MIN(I30:J30)</f>
        <v>11</v>
      </c>
      <c r="Q30" s="6" t="str">
        <f aca="false">IF(O30&gt;=50,"VERY","NOT VERY")</f>
        <v>NOT VERY</v>
      </c>
    </row>
    <row r="31" customFormat="false" ht="14.25" hidden="false" customHeight="false" outlineLevel="0" collapsed="false">
      <c r="A31" s="6" t="s">
        <v>17</v>
      </c>
      <c r="B31" s="6" t="s">
        <v>56</v>
      </c>
      <c r="C31" s="6" t="n">
        <v>15</v>
      </c>
      <c r="D31" s="6" t="s">
        <v>19</v>
      </c>
      <c r="E31" s="6" t="s">
        <v>24</v>
      </c>
      <c r="F31" s="6" t="n">
        <v>2018</v>
      </c>
      <c r="G31" s="6" t="n">
        <v>7.8</v>
      </c>
      <c r="H31" s="6" t="n">
        <v>10</v>
      </c>
      <c r="I31" s="6" t="n">
        <v>13</v>
      </c>
      <c r="J31" s="6" t="n">
        <v>40</v>
      </c>
      <c r="K31" s="6"/>
      <c r="L31" s="7" t="n">
        <f aca="false">SUM(I31:J31)</f>
        <v>53</v>
      </c>
      <c r="M31" s="6" t="n">
        <f aca="false">AVERAGE(I31:J31)</f>
        <v>26.5</v>
      </c>
      <c r="N31" s="6" t="n">
        <f aca="false">MEDIAN(I31:J31)</f>
        <v>26.5</v>
      </c>
      <c r="O31" s="6" t="n">
        <f aca="false">MAX(I31:J31)</f>
        <v>40</v>
      </c>
      <c r="P31" s="6" t="n">
        <f aca="false">MIN(I31:J31)</f>
        <v>13</v>
      </c>
      <c r="Q31" s="6" t="str">
        <f aca="false">IF(O31&gt;=50,"VERY","NOT VERY")</f>
        <v>NOT VERY</v>
      </c>
    </row>
    <row r="32" customFormat="false" ht="14.25" hidden="false" customHeight="false" outlineLevel="0" collapsed="false">
      <c r="A32" s="6" t="s">
        <v>17</v>
      </c>
      <c r="B32" s="6" t="s">
        <v>57</v>
      </c>
      <c r="C32" s="6" t="n">
        <v>14</v>
      </c>
      <c r="D32" s="6" t="s">
        <v>27</v>
      </c>
      <c r="E32" s="6" t="s">
        <v>24</v>
      </c>
      <c r="F32" s="6" t="n">
        <v>2021</v>
      </c>
      <c r="G32" s="6" t="n">
        <v>7.7</v>
      </c>
      <c r="H32" s="6" t="n">
        <v>10</v>
      </c>
      <c r="I32" s="6" t="n">
        <v>11</v>
      </c>
      <c r="J32" s="6" t="n">
        <v>20</v>
      </c>
      <c r="K32" s="6"/>
      <c r="L32" s="7" t="n">
        <f aca="false">SUM(I32:J32)</f>
        <v>31</v>
      </c>
      <c r="M32" s="6" t="n">
        <f aca="false">AVERAGE(I32:J32)</f>
        <v>15.5</v>
      </c>
      <c r="N32" s="6" t="n">
        <f aca="false">MEDIAN(I32:J32)</f>
        <v>15.5</v>
      </c>
      <c r="O32" s="6" t="n">
        <f aca="false">MAX(I32:J32)</f>
        <v>20</v>
      </c>
      <c r="P32" s="6" t="n">
        <f aca="false">MIN(I32:J32)</f>
        <v>11</v>
      </c>
      <c r="Q32" s="6" t="str">
        <f aca="false">IF(O32&gt;=50,"VERY","NOT VERY")</f>
        <v>NOT VERY</v>
      </c>
    </row>
    <row r="33" customFormat="false" ht="14.25" hidden="false" customHeight="false" outlineLevel="0" collapsed="false">
      <c r="A33" s="6" t="s">
        <v>17</v>
      </c>
      <c r="B33" s="6" t="s">
        <v>58</v>
      </c>
      <c r="C33" s="6" t="n">
        <v>4</v>
      </c>
      <c r="D33" s="6" t="s">
        <v>19</v>
      </c>
      <c r="E33" s="6" t="s">
        <v>24</v>
      </c>
      <c r="F33" s="6" t="n">
        <v>2017</v>
      </c>
      <c r="G33" s="6" t="n">
        <v>7.5</v>
      </c>
      <c r="H33" s="6" t="n">
        <v>8</v>
      </c>
      <c r="I33" s="6" t="n">
        <v>9</v>
      </c>
      <c r="J33" s="6" t="n">
        <v>16</v>
      </c>
      <c r="K33" s="6"/>
      <c r="L33" s="7" t="n">
        <f aca="false">SUM(I33:J33)</f>
        <v>25</v>
      </c>
      <c r="M33" s="6" t="n">
        <f aca="false">AVERAGE(I33:J33)</f>
        <v>12.5</v>
      </c>
      <c r="N33" s="6" t="n">
        <f aca="false">MEDIAN(I33:J33)</f>
        <v>12.5</v>
      </c>
      <c r="O33" s="6" t="n">
        <f aca="false">MAX(I33:J33)</f>
        <v>16</v>
      </c>
      <c r="P33" s="6" t="n">
        <f aca="false">MIN(I33:J33)</f>
        <v>9</v>
      </c>
      <c r="Q33" s="6" t="str">
        <f aca="false">IF(O33&gt;=50,"VERY","NOT VERY")</f>
        <v>NOT VERY</v>
      </c>
    </row>
    <row r="34" customFormat="false" ht="14.25" hidden="false" customHeight="false" outlineLevel="0" collapsed="false">
      <c r="A34" s="6" t="s">
        <v>17</v>
      </c>
      <c r="B34" s="6" t="s">
        <v>59</v>
      </c>
      <c r="C34" s="6" t="n">
        <v>5</v>
      </c>
      <c r="D34" s="6" t="s">
        <v>19</v>
      </c>
      <c r="E34" s="6" t="s">
        <v>20</v>
      </c>
      <c r="F34" s="6" t="n">
        <v>2016</v>
      </c>
      <c r="G34" s="6" t="n">
        <v>9.7</v>
      </c>
      <c r="H34" s="6" t="n">
        <v>3</v>
      </c>
      <c r="I34" s="6" t="n">
        <v>5</v>
      </c>
      <c r="J34" s="6" t="n">
        <v>6</v>
      </c>
      <c r="K34" s="6"/>
      <c r="L34" s="7" t="n">
        <f aca="false">SUM(I34:J34)</f>
        <v>11</v>
      </c>
      <c r="M34" s="6" t="n">
        <f aca="false">AVERAGE(I34:J34)</f>
        <v>5.5</v>
      </c>
      <c r="N34" s="6" t="n">
        <f aca="false">MEDIAN(I34:J34)</f>
        <v>5.5</v>
      </c>
      <c r="O34" s="6" t="n">
        <f aca="false">MAX(I34:J34)</f>
        <v>6</v>
      </c>
      <c r="P34" s="6" t="n">
        <f aca="false">MIN(I34:J34)</f>
        <v>5</v>
      </c>
      <c r="Q34" s="6" t="str">
        <f aca="false">IF(O34&gt;=50,"VERY","NOT VERY")</f>
        <v>NOT VERY</v>
      </c>
    </row>
    <row r="35" customFormat="false" ht="14.25" hidden="false" customHeight="false" outlineLevel="0" collapsed="false">
      <c r="A35" s="6" t="s">
        <v>60</v>
      </c>
      <c r="B35" s="6" t="s">
        <v>61</v>
      </c>
      <c r="C35" s="6" t="n">
        <v>11</v>
      </c>
      <c r="D35" s="6" t="s">
        <v>19</v>
      </c>
      <c r="E35" s="6" t="s">
        <v>24</v>
      </c>
      <c r="F35" s="6" t="n">
        <v>2016</v>
      </c>
      <c r="G35" s="6" t="n">
        <v>7.7</v>
      </c>
      <c r="H35" s="6" t="n">
        <v>9</v>
      </c>
      <c r="I35" s="6" t="n">
        <v>11</v>
      </c>
      <c r="J35" s="6" t="n">
        <v>45</v>
      </c>
      <c r="K35" s="6"/>
      <c r="L35" s="7" t="n">
        <f aca="false">SUM(I35:J35)</f>
        <v>56</v>
      </c>
      <c r="M35" s="6" t="n">
        <f aca="false">AVERAGE(I35:J35)</f>
        <v>28</v>
      </c>
      <c r="N35" s="6" t="n">
        <f aca="false">MEDIAN(I35:J35)</f>
        <v>28</v>
      </c>
      <c r="O35" s="6" t="n">
        <f aca="false">MAX(I35:J35)</f>
        <v>45</v>
      </c>
      <c r="P35" s="6" t="n">
        <f aca="false">MIN(I35:J35)</f>
        <v>11</v>
      </c>
      <c r="Q35" s="6" t="str">
        <f aca="false">IF(O35&gt;=50,"VERY","NOT VERY")</f>
        <v>NOT VERY</v>
      </c>
    </row>
    <row r="36" customFormat="false" ht="14.25" hidden="false" customHeight="false" outlineLevel="0" collapsed="false">
      <c r="A36" s="6" t="s">
        <v>60</v>
      </c>
      <c r="B36" s="6" t="s">
        <v>62</v>
      </c>
      <c r="C36" s="6" t="n">
        <v>11</v>
      </c>
      <c r="D36" s="6" t="s">
        <v>19</v>
      </c>
      <c r="E36" s="6" t="s">
        <v>20</v>
      </c>
      <c r="F36" s="6" t="n">
        <v>2015</v>
      </c>
      <c r="G36" s="6" t="n">
        <v>8.9</v>
      </c>
      <c r="H36" s="6" t="n">
        <v>3</v>
      </c>
      <c r="I36" s="6" t="n">
        <v>6</v>
      </c>
      <c r="J36" s="6" t="n">
        <v>15</v>
      </c>
      <c r="K36" s="6"/>
      <c r="L36" s="7" t="n">
        <f aca="false">SUM(I36:J36)</f>
        <v>21</v>
      </c>
      <c r="M36" s="6" t="n">
        <f aca="false">AVERAGE(I36:J36)</f>
        <v>10.5</v>
      </c>
      <c r="N36" s="6" t="n">
        <f aca="false">MEDIAN(I36:J36)</f>
        <v>10.5</v>
      </c>
      <c r="O36" s="6" t="n">
        <f aca="false">MAX(I36:J36)</f>
        <v>15</v>
      </c>
      <c r="P36" s="6" t="n">
        <f aca="false">MIN(I36:J36)</f>
        <v>6</v>
      </c>
      <c r="Q36" s="6" t="str">
        <f aca="false">IF(O36&gt;=50,"VERY","NOT VERY")</f>
        <v>NOT VERY</v>
      </c>
    </row>
    <row r="37" customFormat="false" ht="14.25" hidden="false" customHeight="false" outlineLevel="0" collapsed="false">
      <c r="A37" s="6" t="s">
        <v>60</v>
      </c>
      <c r="B37" s="6" t="s">
        <v>63</v>
      </c>
      <c r="C37" s="6" t="n">
        <v>5</v>
      </c>
      <c r="D37" s="6" t="s">
        <v>27</v>
      </c>
      <c r="E37" s="6" t="s">
        <v>24</v>
      </c>
      <c r="F37" s="6" t="n">
        <v>2017</v>
      </c>
      <c r="G37" s="6" t="n">
        <v>8.9</v>
      </c>
      <c r="H37" s="6" t="n">
        <v>9</v>
      </c>
      <c r="I37" s="6" t="n">
        <v>11</v>
      </c>
      <c r="J37" s="6" t="n">
        <v>18</v>
      </c>
      <c r="K37" s="6"/>
      <c r="L37" s="7" t="n">
        <f aca="false">SUM(I37:J37)</f>
        <v>29</v>
      </c>
      <c r="M37" s="6" t="n">
        <f aca="false">AVERAGE(I37:J37)</f>
        <v>14.5</v>
      </c>
      <c r="N37" s="6" t="n">
        <f aca="false">MEDIAN(I37:J37)</f>
        <v>14.5</v>
      </c>
      <c r="O37" s="6" t="n">
        <f aca="false">MAX(I37:J37)</f>
        <v>18</v>
      </c>
      <c r="P37" s="6" t="n">
        <f aca="false">MIN(I37:J37)</f>
        <v>11</v>
      </c>
      <c r="Q37" s="6" t="str">
        <f aca="false">IF(O37&gt;=50,"VERY","NOT VERY")</f>
        <v>NOT VERY</v>
      </c>
    </row>
    <row r="38" customFormat="false" ht="14.25" hidden="false" customHeight="false" outlineLevel="0" collapsed="false">
      <c r="A38" s="6" t="s">
        <v>60</v>
      </c>
      <c r="B38" s="6" t="s">
        <v>64</v>
      </c>
      <c r="C38" s="6" t="n">
        <v>4</v>
      </c>
      <c r="D38" s="6" t="s">
        <v>19</v>
      </c>
      <c r="E38" s="6" t="s">
        <v>24</v>
      </c>
      <c r="F38" s="6" t="n">
        <v>2021</v>
      </c>
      <c r="G38" s="6" t="n">
        <v>8.3</v>
      </c>
      <c r="H38" s="6" t="n">
        <v>3</v>
      </c>
      <c r="I38" s="6" t="n">
        <v>4</v>
      </c>
      <c r="J38" s="6" t="n">
        <v>12</v>
      </c>
      <c r="K38" s="6"/>
      <c r="L38" s="7" t="n">
        <f aca="false">SUM(I38:J38)</f>
        <v>16</v>
      </c>
      <c r="M38" s="6" t="n">
        <f aca="false">AVERAGE(I38:J38)</f>
        <v>8</v>
      </c>
      <c r="N38" s="6" t="n">
        <f aca="false">MEDIAN(I38:J38)</f>
        <v>8</v>
      </c>
      <c r="O38" s="6" t="n">
        <f aca="false">MAX(I38:J38)</f>
        <v>12</v>
      </c>
      <c r="P38" s="6" t="n">
        <f aca="false">MIN(I38:J38)</f>
        <v>4</v>
      </c>
      <c r="Q38" s="6" t="str">
        <f aca="false">IF(O38&gt;=50,"VERY","NOT VERY")</f>
        <v>NOT VERY</v>
      </c>
    </row>
    <row r="39" customFormat="false" ht="14.25" hidden="false" customHeight="false" outlineLevel="0" collapsed="false">
      <c r="A39" s="6" t="s">
        <v>60</v>
      </c>
      <c r="B39" s="6" t="s">
        <v>65</v>
      </c>
      <c r="C39" s="6" t="n">
        <v>13</v>
      </c>
      <c r="D39" s="6" t="s">
        <v>27</v>
      </c>
      <c r="E39" s="6" t="s">
        <v>20</v>
      </c>
      <c r="F39" s="6" t="n">
        <v>2023</v>
      </c>
      <c r="G39" s="6" t="n">
        <v>8.7</v>
      </c>
      <c r="H39" s="6" t="n">
        <v>2</v>
      </c>
      <c r="I39" s="6" t="n">
        <v>4</v>
      </c>
      <c r="J39" s="6" t="n">
        <v>10</v>
      </c>
      <c r="K39" s="6"/>
      <c r="L39" s="7" t="n">
        <f aca="false">SUM(I39:J39)</f>
        <v>14</v>
      </c>
      <c r="M39" s="6" t="n">
        <f aca="false">AVERAGE(I39:J39)</f>
        <v>7</v>
      </c>
      <c r="N39" s="6" t="n">
        <f aca="false">MEDIAN(I39:J39)</f>
        <v>7</v>
      </c>
      <c r="O39" s="6" t="n">
        <f aca="false">MAX(I39:J39)</f>
        <v>10</v>
      </c>
      <c r="P39" s="6" t="n">
        <f aca="false">MIN(I39:J39)</f>
        <v>4</v>
      </c>
      <c r="Q39" s="6" t="str">
        <f aca="false">IF(O39&gt;=50,"VERY","NOT VERY")</f>
        <v>NOT VERY</v>
      </c>
    </row>
    <row r="40" customFormat="false" ht="14.25" hidden="false" customHeight="false" outlineLevel="0" collapsed="false">
      <c r="A40" s="6" t="s">
        <v>60</v>
      </c>
      <c r="B40" s="6" t="s">
        <v>66</v>
      </c>
      <c r="C40" s="6" t="n">
        <v>8</v>
      </c>
      <c r="D40" s="6" t="s">
        <v>27</v>
      </c>
      <c r="E40" s="6" t="s">
        <v>24</v>
      </c>
      <c r="F40" s="6" t="n">
        <v>2022</v>
      </c>
      <c r="G40" s="6" t="n">
        <v>6.1</v>
      </c>
      <c r="H40" s="6" t="n">
        <v>6</v>
      </c>
      <c r="I40" s="6" t="n">
        <v>7</v>
      </c>
      <c r="J40" s="6" t="n">
        <v>24</v>
      </c>
      <c r="K40" s="6"/>
      <c r="L40" s="7" t="n">
        <f aca="false">SUM(I40:J40)</f>
        <v>31</v>
      </c>
      <c r="M40" s="6" t="n">
        <f aca="false">AVERAGE(I40:J40)</f>
        <v>15.5</v>
      </c>
      <c r="N40" s="6" t="n">
        <f aca="false">MEDIAN(I40:J40)</f>
        <v>15.5</v>
      </c>
      <c r="O40" s="6" t="n">
        <f aca="false">MAX(I40:J40)</f>
        <v>24</v>
      </c>
      <c r="P40" s="6" t="n">
        <f aca="false">MIN(I40:J40)</f>
        <v>7</v>
      </c>
      <c r="Q40" s="6" t="str">
        <f aca="false">IF(O40&gt;=50,"VERY","NOT VERY")</f>
        <v>NOT VERY</v>
      </c>
    </row>
    <row r="41" customFormat="false" ht="14.25" hidden="false" customHeight="false" outlineLevel="0" collapsed="false">
      <c r="A41" s="6" t="s">
        <v>60</v>
      </c>
      <c r="B41" s="6" t="s">
        <v>67</v>
      </c>
      <c r="C41" s="6" t="n">
        <v>10</v>
      </c>
      <c r="D41" s="6" t="s">
        <v>19</v>
      </c>
      <c r="E41" s="6" t="s">
        <v>24</v>
      </c>
      <c r="F41" s="6" t="n">
        <v>2016</v>
      </c>
      <c r="G41" s="6" t="n">
        <v>7.3</v>
      </c>
      <c r="H41" s="6" t="n">
        <v>9</v>
      </c>
      <c r="I41" s="6" t="n">
        <v>12</v>
      </c>
      <c r="J41" s="6" t="n">
        <v>45</v>
      </c>
      <c r="K41" s="6"/>
      <c r="L41" s="7" t="n">
        <f aca="false">SUM(I41:J41)</f>
        <v>57</v>
      </c>
      <c r="M41" s="6" t="n">
        <f aca="false">AVERAGE(I41:J41)</f>
        <v>28.5</v>
      </c>
      <c r="N41" s="6" t="n">
        <f aca="false">MEDIAN(I41:J41)</f>
        <v>28.5</v>
      </c>
      <c r="O41" s="6" t="n">
        <f aca="false">MAX(I41:J41)</f>
        <v>45</v>
      </c>
      <c r="P41" s="6" t="n">
        <f aca="false">MIN(I41:J41)</f>
        <v>12</v>
      </c>
      <c r="Q41" s="6" t="str">
        <f aca="false">IF(O41&gt;=50,"VERY","NOT VERY")</f>
        <v>NOT VERY</v>
      </c>
    </row>
    <row r="42" customFormat="false" ht="14.25" hidden="false" customHeight="false" outlineLevel="0" collapsed="false">
      <c r="A42" s="6" t="s">
        <v>60</v>
      </c>
      <c r="B42" s="6" t="s">
        <v>68</v>
      </c>
      <c r="C42" s="6" t="n">
        <v>8</v>
      </c>
      <c r="D42" s="6" t="s">
        <v>27</v>
      </c>
      <c r="E42" s="6" t="s">
        <v>24</v>
      </c>
      <c r="F42" s="6" t="n">
        <v>2022</v>
      </c>
      <c r="G42" s="6" t="n">
        <v>7</v>
      </c>
      <c r="H42" s="6" t="n">
        <v>8</v>
      </c>
      <c r="I42" s="6" t="n">
        <v>9</v>
      </c>
      <c r="J42" s="6" t="n">
        <v>16</v>
      </c>
      <c r="K42" s="6"/>
      <c r="L42" s="7" t="n">
        <f aca="false">SUM(I42:J42)</f>
        <v>25</v>
      </c>
      <c r="M42" s="6" t="n">
        <f aca="false">AVERAGE(I42:J42)</f>
        <v>12.5</v>
      </c>
      <c r="N42" s="6" t="n">
        <f aca="false">MEDIAN(I42:J42)</f>
        <v>12.5</v>
      </c>
      <c r="O42" s="6" t="n">
        <f aca="false">MAX(I42:J42)</f>
        <v>16</v>
      </c>
      <c r="P42" s="6" t="n">
        <f aca="false">MIN(I42:J42)</f>
        <v>9</v>
      </c>
      <c r="Q42" s="6" t="str">
        <f aca="false">IF(O42&gt;=50,"VERY","NOT VERY")</f>
        <v>NOT VERY</v>
      </c>
    </row>
    <row r="43" customFormat="false" ht="14.25" hidden="false" customHeight="false" outlineLevel="0" collapsed="false">
      <c r="A43" s="6" t="s">
        <v>60</v>
      </c>
      <c r="B43" s="6" t="s">
        <v>69</v>
      </c>
      <c r="C43" s="6" t="n">
        <v>7</v>
      </c>
      <c r="D43" s="6" t="s">
        <v>27</v>
      </c>
      <c r="E43" s="6" t="s">
        <v>24</v>
      </c>
      <c r="F43" s="6" t="n">
        <v>2015</v>
      </c>
      <c r="G43" s="6" t="n">
        <v>8.1</v>
      </c>
      <c r="H43" s="6" t="n">
        <v>7</v>
      </c>
      <c r="I43" s="6" t="n">
        <v>8</v>
      </c>
      <c r="J43" s="6" t="n">
        <v>28</v>
      </c>
      <c r="K43" s="6"/>
      <c r="L43" s="7" t="n">
        <f aca="false">SUM(I43:J43)</f>
        <v>36</v>
      </c>
      <c r="M43" s="6" t="n">
        <f aca="false">AVERAGE(I43:J43)</f>
        <v>18</v>
      </c>
      <c r="N43" s="6" t="n">
        <f aca="false">MEDIAN(I43:J43)</f>
        <v>18</v>
      </c>
      <c r="O43" s="6" t="n">
        <f aca="false">MAX(I43:J43)</f>
        <v>28</v>
      </c>
      <c r="P43" s="6" t="n">
        <f aca="false">MIN(I43:J43)</f>
        <v>8</v>
      </c>
      <c r="Q43" s="6" t="str">
        <f aca="false">IF(O43&gt;=50,"VERY","NOT VERY")</f>
        <v>NOT VERY</v>
      </c>
    </row>
    <row r="44" customFormat="false" ht="14.25" hidden="false" customHeight="false" outlineLevel="0" collapsed="false">
      <c r="A44" s="6" t="s">
        <v>60</v>
      </c>
      <c r="B44" s="6" t="s">
        <v>70</v>
      </c>
      <c r="C44" s="6" t="n">
        <v>3</v>
      </c>
      <c r="D44" s="6" t="s">
        <v>19</v>
      </c>
      <c r="E44" s="6" t="s">
        <v>24</v>
      </c>
      <c r="F44" s="6" t="n">
        <v>2017</v>
      </c>
      <c r="G44" s="6" t="n">
        <v>7.6</v>
      </c>
      <c r="H44" s="6" t="n">
        <v>5</v>
      </c>
      <c r="I44" s="6" t="n">
        <v>6</v>
      </c>
      <c r="J44" s="6" t="n">
        <v>10</v>
      </c>
      <c r="K44" s="6"/>
      <c r="L44" s="7" t="n">
        <f aca="false">SUM(I44:J44)</f>
        <v>16</v>
      </c>
      <c r="M44" s="6" t="n">
        <f aca="false">AVERAGE(I44:J44)</f>
        <v>8</v>
      </c>
      <c r="N44" s="6" t="n">
        <f aca="false">MEDIAN(I44:J44)</f>
        <v>8</v>
      </c>
      <c r="O44" s="6" t="n">
        <f aca="false">MAX(I44:J44)</f>
        <v>10</v>
      </c>
      <c r="P44" s="6" t="n">
        <f aca="false">MIN(I44:J44)</f>
        <v>6</v>
      </c>
      <c r="Q44" s="6" t="str">
        <f aca="false">IF(O44&gt;=50,"VERY","NOT VERY")</f>
        <v>NOT VERY</v>
      </c>
    </row>
    <row r="45" customFormat="false" ht="14.25" hidden="false" customHeight="false" outlineLevel="0" collapsed="false">
      <c r="A45" s="6" t="s">
        <v>60</v>
      </c>
      <c r="B45" s="6" t="s">
        <v>71</v>
      </c>
      <c r="C45" s="6" t="n">
        <v>8</v>
      </c>
      <c r="D45" s="6" t="s">
        <v>19</v>
      </c>
      <c r="E45" s="6" t="s">
        <v>20</v>
      </c>
      <c r="F45" s="6" t="n">
        <v>2021</v>
      </c>
      <c r="G45" s="6" t="n">
        <v>11.1</v>
      </c>
      <c r="H45" s="6" t="n">
        <v>0</v>
      </c>
      <c r="I45" s="6" t="n">
        <v>2</v>
      </c>
      <c r="J45" s="6" t="n">
        <v>0</v>
      </c>
      <c r="K45" s="6"/>
      <c r="L45" s="7" t="n">
        <f aca="false">SUM(I45:J45)</f>
        <v>2</v>
      </c>
      <c r="M45" s="6" t="n">
        <f aca="false">AVERAGE(I45:J45)</f>
        <v>1</v>
      </c>
      <c r="N45" s="6" t="n">
        <f aca="false">MEDIAN(I45:J45)</f>
        <v>1</v>
      </c>
      <c r="O45" s="6" t="n">
        <f aca="false">MAX(I45:J45)</f>
        <v>2</v>
      </c>
      <c r="P45" s="6" t="n">
        <f aca="false">MIN(I45:J45)</f>
        <v>0</v>
      </c>
      <c r="Q45" s="6" t="str">
        <f aca="false">IF(O45&gt;=50,"VERY","NOT VERY")</f>
        <v>NOT VERY</v>
      </c>
    </row>
    <row r="46" customFormat="false" ht="14.25" hidden="false" customHeight="false" outlineLevel="0" collapsed="false">
      <c r="A46" s="6" t="s">
        <v>60</v>
      </c>
      <c r="B46" s="6" t="s">
        <v>72</v>
      </c>
      <c r="C46" s="6" t="n">
        <v>11</v>
      </c>
      <c r="D46" s="6" t="s">
        <v>27</v>
      </c>
      <c r="E46" s="6" t="s">
        <v>24</v>
      </c>
      <c r="F46" s="6" t="n">
        <v>2022</v>
      </c>
      <c r="G46" s="6" t="n">
        <v>8.8</v>
      </c>
      <c r="H46" s="6" t="n">
        <v>10</v>
      </c>
      <c r="I46" s="6" t="n">
        <v>13</v>
      </c>
      <c r="J46" s="6" t="n">
        <v>50</v>
      </c>
      <c r="K46" s="6"/>
      <c r="L46" s="7" t="n">
        <f aca="false">SUM(I46:J46)</f>
        <v>63</v>
      </c>
      <c r="M46" s="6" t="n">
        <f aca="false">AVERAGE(I46:J46)</f>
        <v>31.5</v>
      </c>
      <c r="N46" s="6" t="n">
        <f aca="false">MEDIAN(I46:J46)</f>
        <v>31.5</v>
      </c>
      <c r="O46" s="6" t="n">
        <f aca="false">MAX(I46:J46)</f>
        <v>50</v>
      </c>
      <c r="P46" s="6" t="n">
        <f aca="false">MIN(I46:J46)</f>
        <v>13</v>
      </c>
      <c r="Q46" s="6" t="str">
        <f aca="false">IF(O46&gt;=50,"VERY","NOT VERY")</f>
        <v>VERY</v>
      </c>
    </row>
    <row r="47" customFormat="false" ht="14.25" hidden="false" customHeight="false" outlineLevel="0" collapsed="false">
      <c r="A47" s="6" t="s">
        <v>60</v>
      </c>
      <c r="B47" s="6" t="s">
        <v>73</v>
      </c>
      <c r="C47" s="6" t="n">
        <v>9</v>
      </c>
      <c r="D47" s="6" t="s">
        <v>27</v>
      </c>
      <c r="E47" s="6" t="s">
        <v>20</v>
      </c>
      <c r="F47" s="6" t="n">
        <v>2023</v>
      </c>
      <c r="G47" s="6" t="n">
        <v>11.6</v>
      </c>
      <c r="H47" s="6" t="n">
        <v>3</v>
      </c>
      <c r="I47" s="6" t="n">
        <v>5</v>
      </c>
      <c r="J47" s="6" t="n">
        <v>12</v>
      </c>
      <c r="K47" s="6"/>
      <c r="L47" s="7" t="n">
        <f aca="false">SUM(I47:J47)</f>
        <v>17</v>
      </c>
      <c r="M47" s="6" t="n">
        <f aca="false">AVERAGE(I47:J47)</f>
        <v>8.5</v>
      </c>
      <c r="N47" s="6" t="n">
        <f aca="false">MEDIAN(I47:J47)</f>
        <v>8.5</v>
      </c>
      <c r="O47" s="6" t="n">
        <f aca="false">MAX(I47:J47)</f>
        <v>12</v>
      </c>
      <c r="P47" s="6" t="n">
        <f aca="false">MIN(I47:J47)</f>
        <v>5</v>
      </c>
      <c r="Q47" s="6" t="str">
        <f aca="false">IF(O47&gt;=50,"VERY","NOT VERY")</f>
        <v>NOT VERY</v>
      </c>
    </row>
    <row r="48" customFormat="false" ht="14.25" hidden="false" customHeight="false" outlineLevel="0" collapsed="false">
      <c r="A48" s="6" t="s">
        <v>60</v>
      </c>
      <c r="B48" s="6" t="s">
        <v>74</v>
      </c>
      <c r="C48" s="6" t="n">
        <v>12</v>
      </c>
      <c r="D48" s="6" t="s">
        <v>27</v>
      </c>
      <c r="E48" s="6" t="s">
        <v>24</v>
      </c>
      <c r="F48" s="6" t="n">
        <v>2023</v>
      </c>
      <c r="G48" s="6" t="n">
        <v>7.3</v>
      </c>
      <c r="H48" s="6" t="n">
        <v>6</v>
      </c>
      <c r="I48" s="6" t="n">
        <v>7</v>
      </c>
      <c r="J48" s="6" t="n">
        <v>18</v>
      </c>
      <c r="K48" s="6"/>
      <c r="L48" s="7" t="n">
        <f aca="false">SUM(I48:J48)</f>
        <v>25</v>
      </c>
      <c r="M48" s="6" t="n">
        <f aca="false">AVERAGE(I48:J48)</f>
        <v>12.5</v>
      </c>
      <c r="N48" s="6" t="n">
        <f aca="false">MEDIAN(I48:J48)</f>
        <v>12.5</v>
      </c>
      <c r="O48" s="6" t="n">
        <f aca="false">MAX(I48:J48)</f>
        <v>18</v>
      </c>
      <c r="P48" s="6" t="n">
        <f aca="false">MIN(I48:J48)</f>
        <v>7</v>
      </c>
      <c r="Q48" s="6" t="str">
        <f aca="false">IF(O48&gt;=50,"VERY","NOT VERY")</f>
        <v>NOT VERY</v>
      </c>
    </row>
    <row r="49" customFormat="false" ht="14.25" hidden="false" customHeight="false" outlineLevel="0" collapsed="false">
      <c r="A49" s="6" t="s">
        <v>60</v>
      </c>
      <c r="B49" s="6" t="s">
        <v>75</v>
      </c>
      <c r="C49" s="6" t="n">
        <v>15</v>
      </c>
      <c r="D49" s="6" t="s">
        <v>19</v>
      </c>
      <c r="E49" s="6" t="s">
        <v>24</v>
      </c>
      <c r="F49" s="6" t="n">
        <v>2022</v>
      </c>
      <c r="G49" s="6" t="n">
        <v>8.5</v>
      </c>
      <c r="H49" s="6" t="n">
        <v>5</v>
      </c>
      <c r="I49" s="6" t="n">
        <v>8</v>
      </c>
      <c r="J49" s="6" t="n">
        <v>15</v>
      </c>
      <c r="K49" s="6"/>
      <c r="L49" s="7" t="n">
        <f aca="false">SUM(I49:J49)</f>
        <v>23</v>
      </c>
      <c r="M49" s="6" t="n">
        <f aca="false">AVERAGE(I49:J49)</f>
        <v>11.5</v>
      </c>
      <c r="N49" s="6" t="n">
        <f aca="false">MEDIAN(I49:J49)</f>
        <v>11.5</v>
      </c>
      <c r="O49" s="6" t="n">
        <f aca="false">MAX(I49:J49)</f>
        <v>15</v>
      </c>
      <c r="P49" s="6" t="n">
        <f aca="false">MIN(I49:J49)</f>
        <v>8</v>
      </c>
      <c r="Q49" s="6" t="str">
        <f aca="false">IF(O49&gt;=50,"VERY","NOT VERY")</f>
        <v>NOT VERY</v>
      </c>
    </row>
    <row r="50" customFormat="false" ht="14.25" hidden="false" customHeight="false" outlineLevel="0" collapsed="false">
      <c r="A50" s="6" t="s">
        <v>60</v>
      </c>
      <c r="B50" s="6" t="s">
        <v>76</v>
      </c>
      <c r="C50" s="6" t="n">
        <v>10</v>
      </c>
      <c r="D50" s="6" t="s">
        <v>27</v>
      </c>
      <c r="E50" s="6" t="s">
        <v>24</v>
      </c>
      <c r="F50" s="6" t="n">
        <v>2015</v>
      </c>
      <c r="G50" s="6" t="n">
        <v>7.2</v>
      </c>
      <c r="H50" s="6" t="n">
        <v>3</v>
      </c>
      <c r="I50" s="6" t="n">
        <v>3</v>
      </c>
      <c r="J50" s="6" t="n">
        <v>15</v>
      </c>
      <c r="K50" s="6"/>
      <c r="L50" s="7" t="n">
        <f aca="false">SUM(I50:J50)</f>
        <v>18</v>
      </c>
      <c r="M50" s="6" t="n">
        <f aca="false">AVERAGE(I50:J50)</f>
        <v>9</v>
      </c>
      <c r="N50" s="6" t="n">
        <f aca="false">MEDIAN(I50:J50)</f>
        <v>9</v>
      </c>
      <c r="O50" s="6" t="n">
        <f aca="false">MAX(I50:J50)</f>
        <v>15</v>
      </c>
      <c r="P50" s="6" t="n">
        <f aca="false">MIN(I50:J50)</f>
        <v>3</v>
      </c>
      <c r="Q50" s="6" t="str">
        <f aca="false">IF(O50&gt;=50,"VERY","NOT VERY")</f>
        <v>NOT VERY</v>
      </c>
    </row>
    <row r="51" customFormat="false" ht="14.25" hidden="false" customHeight="false" outlineLevel="0" collapsed="false">
      <c r="A51" s="6" t="s">
        <v>60</v>
      </c>
      <c r="B51" s="6" t="s">
        <v>77</v>
      </c>
      <c r="C51" s="6" t="n">
        <v>4</v>
      </c>
      <c r="D51" s="6" t="s">
        <v>27</v>
      </c>
      <c r="E51" s="6" t="s">
        <v>24</v>
      </c>
      <c r="F51" s="6" t="n">
        <v>2021</v>
      </c>
      <c r="G51" s="6" t="n">
        <v>8.2</v>
      </c>
      <c r="H51" s="6" t="n">
        <v>4</v>
      </c>
      <c r="I51" s="6" t="n">
        <v>4</v>
      </c>
      <c r="J51" s="6" t="n">
        <v>20</v>
      </c>
      <c r="K51" s="6"/>
      <c r="L51" s="7" t="n">
        <f aca="false">SUM(I51:J51)</f>
        <v>24</v>
      </c>
      <c r="M51" s="6" t="n">
        <f aca="false">AVERAGE(I51:J51)</f>
        <v>12</v>
      </c>
      <c r="N51" s="6" t="n">
        <f aca="false">MEDIAN(I51:J51)</f>
        <v>12</v>
      </c>
      <c r="O51" s="6" t="n">
        <f aca="false">MAX(I51:J51)</f>
        <v>20</v>
      </c>
      <c r="P51" s="6" t="n">
        <f aca="false">MIN(I51:J51)</f>
        <v>4</v>
      </c>
      <c r="Q51" s="6" t="str">
        <f aca="false">IF(O51&gt;=50,"VERY","NOT VERY")</f>
        <v>NOT VERY</v>
      </c>
    </row>
    <row r="52" customFormat="false" ht="14.25" hidden="false" customHeight="false" outlineLevel="0" collapsed="false">
      <c r="A52" s="6" t="s">
        <v>60</v>
      </c>
      <c r="B52" s="6" t="s">
        <v>78</v>
      </c>
      <c r="C52" s="6" t="n">
        <v>8</v>
      </c>
      <c r="D52" s="6" t="s">
        <v>19</v>
      </c>
      <c r="E52" s="6" t="s">
        <v>20</v>
      </c>
      <c r="F52" s="6" t="n">
        <v>2023</v>
      </c>
      <c r="G52" s="6" t="n">
        <v>9.5</v>
      </c>
      <c r="H52" s="6" t="n">
        <v>3</v>
      </c>
      <c r="I52" s="6" t="n">
        <v>3</v>
      </c>
      <c r="J52" s="6" t="n">
        <v>15</v>
      </c>
      <c r="K52" s="6"/>
      <c r="L52" s="7" t="n">
        <f aca="false">SUM(I52:J52)</f>
        <v>18</v>
      </c>
      <c r="M52" s="6" t="n">
        <f aca="false">AVERAGE(I52:J52)</f>
        <v>9</v>
      </c>
      <c r="N52" s="6" t="n">
        <f aca="false">MEDIAN(I52:J52)</f>
        <v>9</v>
      </c>
      <c r="O52" s="6" t="n">
        <f aca="false">MAX(I52:J52)</f>
        <v>15</v>
      </c>
      <c r="P52" s="6" t="n">
        <f aca="false">MIN(I52:J52)</f>
        <v>3</v>
      </c>
      <c r="Q52" s="6" t="str">
        <f aca="false">IF(O52&gt;=50,"VERY","NOT VERY")</f>
        <v>NOT VERY</v>
      </c>
    </row>
    <row r="53" customFormat="false" ht="14.25" hidden="false" customHeight="false" outlineLevel="0" collapsed="false">
      <c r="A53" s="6" t="s">
        <v>60</v>
      </c>
      <c r="B53" s="6" t="s">
        <v>79</v>
      </c>
      <c r="C53" s="6" t="n">
        <v>4</v>
      </c>
      <c r="D53" s="6" t="s">
        <v>19</v>
      </c>
      <c r="E53" s="6" t="s">
        <v>24</v>
      </c>
      <c r="F53" s="6" t="n">
        <v>2015</v>
      </c>
      <c r="G53" s="6" t="n">
        <v>8.5</v>
      </c>
      <c r="H53" s="6" t="n">
        <v>8</v>
      </c>
      <c r="I53" s="6" t="n">
        <v>10</v>
      </c>
      <c r="J53" s="6" t="n">
        <v>24</v>
      </c>
      <c r="K53" s="6"/>
      <c r="L53" s="7" t="n">
        <f aca="false">SUM(I53:J53)</f>
        <v>34</v>
      </c>
      <c r="M53" s="6" t="n">
        <f aca="false">AVERAGE(I53:J53)</f>
        <v>17</v>
      </c>
      <c r="N53" s="6" t="n">
        <f aca="false">MEDIAN(I53:J53)</f>
        <v>17</v>
      </c>
      <c r="O53" s="6" t="n">
        <f aca="false">MAX(I53:J53)</f>
        <v>24</v>
      </c>
      <c r="P53" s="6" t="n">
        <f aca="false">MIN(I53:J53)</f>
        <v>10</v>
      </c>
      <c r="Q53" s="6" t="str">
        <f aca="false">IF(O53&gt;=50,"VERY","NOT VERY")</f>
        <v>NOT VERY</v>
      </c>
    </row>
    <row r="54" customFormat="false" ht="14.25" hidden="false" customHeight="false" outlineLevel="0" collapsed="false">
      <c r="A54" s="6" t="s">
        <v>60</v>
      </c>
      <c r="B54" s="6" t="s">
        <v>80</v>
      </c>
      <c r="C54" s="6" t="n">
        <v>13</v>
      </c>
      <c r="D54" s="6" t="s">
        <v>19</v>
      </c>
      <c r="E54" s="6" t="s">
        <v>20</v>
      </c>
      <c r="F54" s="6" t="n">
        <v>2022</v>
      </c>
      <c r="G54" s="6" t="n">
        <v>11.1</v>
      </c>
      <c r="H54" s="6" t="n">
        <v>2</v>
      </c>
      <c r="I54" s="6" t="n">
        <v>5</v>
      </c>
      <c r="J54" s="6" t="n">
        <v>4</v>
      </c>
      <c r="K54" s="6"/>
      <c r="L54" s="7" t="n">
        <f aca="false">SUM(I54:J54)</f>
        <v>9</v>
      </c>
      <c r="M54" s="6" t="n">
        <f aca="false">AVERAGE(I54:J54)</f>
        <v>4.5</v>
      </c>
      <c r="N54" s="6" t="n">
        <f aca="false">MEDIAN(I54:J54)</f>
        <v>4.5</v>
      </c>
      <c r="O54" s="6" t="n">
        <f aca="false">MAX(I54:J54)</f>
        <v>5</v>
      </c>
      <c r="P54" s="6" t="n">
        <f aca="false">MIN(I54:J54)</f>
        <v>4</v>
      </c>
      <c r="Q54" s="6" t="str">
        <f aca="false">IF(O54&gt;=50,"VERY","NOT VERY")</f>
        <v>NOT VERY</v>
      </c>
    </row>
    <row r="55" customFormat="false" ht="14.25" hidden="false" customHeight="false" outlineLevel="0" collapsed="false">
      <c r="A55" s="6" t="s">
        <v>60</v>
      </c>
      <c r="B55" s="6" t="s">
        <v>81</v>
      </c>
      <c r="C55" s="6" t="n">
        <v>6</v>
      </c>
      <c r="D55" s="6" t="s">
        <v>19</v>
      </c>
      <c r="E55" s="6" t="s">
        <v>20</v>
      </c>
      <c r="F55" s="6" t="n">
        <v>2022</v>
      </c>
      <c r="G55" s="6" t="n">
        <v>9.5</v>
      </c>
      <c r="H55" s="6" t="n">
        <v>4</v>
      </c>
      <c r="I55" s="6" t="n">
        <v>5</v>
      </c>
      <c r="J55" s="6" t="n">
        <v>12</v>
      </c>
      <c r="K55" s="6"/>
      <c r="L55" s="7" t="n">
        <f aca="false">SUM(I55:J55)</f>
        <v>17</v>
      </c>
      <c r="M55" s="6" t="n">
        <f aca="false">AVERAGE(I55:J55)</f>
        <v>8.5</v>
      </c>
      <c r="N55" s="6" t="n">
        <f aca="false">MEDIAN(I55:J55)</f>
        <v>8.5</v>
      </c>
      <c r="O55" s="6" t="n">
        <f aca="false">MAX(I55:J55)</f>
        <v>12</v>
      </c>
      <c r="P55" s="6" t="n">
        <f aca="false">MIN(I55:J55)</f>
        <v>5</v>
      </c>
      <c r="Q55" s="6" t="str">
        <f aca="false">IF(O55&gt;=50,"VERY","NOT VERY")</f>
        <v>NOT VERY</v>
      </c>
    </row>
    <row r="56" customFormat="false" ht="14.25" hidden="false" customHeight="false" outlineLevel="0" collapsed="false">
      <c r="A56" s="6" t="s">
        <v>60</v>
      </c>
      <c r="B56" s="6" t="s">
        <v>82</v>
      </c>
      <c r="C56" s="6" t="n">
        <v>6</v>
      </c>
      <c r="D56" s="6" t="s">
        <v>19</v>
      </c>
      <c r="E56" s="6" t="s">
        <v>24</v>
      </c>
      <c r="F56" s="6" t="n">
        <v>2021</v>
      </c>
      <c r="G56" s="6" t="n">
        <v>8.2</v>
      </c>
      <c r="H56" s="6" t="n">
        <v>6</v>
      </c>
      <c r="I56" s="6" t="n">
        <v>9</v>
      </c>
      <c r="J56" s="6" t="n">
        <v>30</v>
      </c>
      <c r="K56" s="6"/>
      <c r="L56" s="7" t="n">
        <f aca="false">SUM(I56:J56)</f>
        <v>39</v>
      </c>
      <c r="M56" s="6" t="n">
        <f aca="false">AVERAGE(I56:J56)</f>
        <v>19.5</v>
      </c>
      <c r="N56" s="6" t="n">
        <f aca="false">MEDIAN(I56:J56)</f>
        <v>19.5</v>
      </c>
      <c r="O56" s="6" t="n">
        <f aca="false">MAX(I56:J56)</f>
        <v>30</v>
      </c>
      <c r="P56" s="6" t="n">
        <f aca="false">MIN(I56:J56)</f>
        <v>9</v>
      </c>
      <c r="Q56" s="6" t="str">
        <f aca="false">IF(O56&gt;=50,"VERY","NOT VERY")</f>
        <v>NOT VERY</v>
      </c>
    </row>
    <row r="57" customFormat="false" ht="14.25" hidden="false" customHeight="false" outlineLevel="0" collapsed="false">
      <c r="A57" s="6" t="s">
        <v>60</v>
      </c>
      <c r="B57" s="6" t="s">
        <v>83</v>
      </c>
      <c r="C57" s="6" t="n">
        <v>15</v>
      </c>
      <c r="D57" s="6" t="s">
        <v>19</v>
      </c>
      <c r="E57" s="6" t="s">
        <v>24</v>
      </c>
      <c r="F57" s="6" t="n">
        <v>2016</v>
      </c>
      <c r="G57" s="6" t="n">
        <v>9</v>
      </c>
      <c r="H57" s="6" t="n">
        <v>6</v>
      </c>
      <c r="I57" s="6" t="n">
        <v>7</v>
      </c>
      <c r="J57" s="6" t="n">
        <v>18</v>
      </c>
      <c r="K57" s="6"/>
      <c r="L57" s="7" t="n">
        <f aca="false">SUM(I57:J57)</f>
        <v>25</v>
      </c>
      <c r="M57" s="6" t="n">
        <f aca="false">AVERAGE(I57:J57)</f>
        <v>12.5</v>
      </c>
      <c r="N57" s="6" t="n">
        <f aca="false">MEDIAN(I57:J57)</f>
        <v>12.5</v>
      </c>
      <c r="O57" s="6" t="n">
        <f aca="false">MAX(I57:J57)</f>
        <v>18</v>
      </c>
      <c r="P57" s="6" t="n">
        <f aca="false">MIN(I57:J57)</f>
        <v>7</v>
      </c>
      <c r="Q57" s="6" t="str">
        <f aca="false">IF(O57&gt;=50,"VERY","NOT VERY")</f>
        <v>NOT VERY</v>
      </c>
    </row>
    <row r="58" customFormat="false" ht="14.25" hidden="false" customHeight="false" outlineLevel="0" collapsed="false">
      <c r="A58" s="6" t="s">
        <v>60</v>
      </c>
      <c r="B58" s="6" t="s">
        <v>84</v>
      </c>
      <c r="C58" s="6" t="n">
        <v>15</v>
      </c>
      <c r="D58" s="6" t="s">
        <v>19</v>
      </c>
      <c r="E58" s="6" t="s">
        <v>20</v>
      </c>
      <c r="F58" s="6" t="n">
        <v>2019</v>
      </c>
      <c r="G58" s="6" t="n">
        <v>9.5</v>
      </c>
      <c r="H58" s="6" t="n">
        <v>0</v>
      </c>
      <c r="I58" s="6" t="n">
        <v>3</v>
      </c>
      <c r="J58" s="6" t="n">
        <v>0</v>
      </c>
      <c r="K58" s="6"/>
      <c r="L58" s="7" t="n">
        <f aca="false">SUM(I58:J58)</f>
        <v>3</v>
      </c>
      <c r="M58" s="6" t="n">
        <f aca="false">AVERAGE(I58:J58)</f>
        <v>1.5</v>
      </c>
      <c r="N58" s="6" t="n">
        <f aca="false">MEDIAN(I58:J58)</f>
        <v>1.5</v>
      </c>
      <c r="O58" s="6" t="n">
        <f aca="false">MAX(I58:J58)</f>
        <v>3</v>
      </c>
      <c r="P58" s="6" t="n">
        <f aca="false">MIN(I58:J58)</f>
        <v>0</v>
      </c>
      <c r="Q58" s="6" t="str">
        <f aca="false">IF(O58&gt;=50,"VERY","NOT VERY")</f>
        <v>NOT VERY</v>
      </c>
    </row>
    <row r="59" customFormat="false" ht="14.25" hidden="false" customHeight="false" outlineLevel="0" collapsed="false">
      <c r="A59" s="6" t="s">
        <v>60</v>
      </c>
      <c r="B59" s="6" t="s">
        <v>85</v>
      </c>
      <c r="C59" s="6" t="n">
        <v>4</v>
      </c>
      <c r="D59" s="6" t="s">
        <v>19</v>
      </c>
      <c r="E59" s="6" t="s">
        <v>24</v>
      </c>
      <c r="F59" s="6" t="n">
        <v>2016</v>
      </c>
      <c r="G59" s="6" t="n">
        <v>7.8</v>
      </c>
      <c r="H59" s="6" t="n">
        <v>6</v>
      </c>
      <c r="I59" s="6" t="n">
        <v>6</v>
      </c>
      <c r="J59" s="6" t="n">
        <v>24</v>
      </c>
      <c r="K59" s="6"/>
      <c r="L59" s="7" t="n">
        <f aca="false">SUM(I59:J59)</f>
        <v>30</v>
      </c>
      <c r="M59" s="6" t="n">
        <f aca="false">AVERAGE(I59:J59)</f>
        <v>15</v>
      </c>
      <c r="N59" s="6" t="n">
        <f aca="false">MEDIAN(I59:J59)</f>
        <v>15</v>
      </c>
      <c r="O59" s="6" t="n">
        <f aca="false">MAX(I59:J59)</f>
        <v>24</v>
      </c>
      <c r="P59" s="6" t="n">
        <f aca="false">MIN(I59:J59)</f>
        <v>6</v>
      </c>
      <c r="Q59" s="6" t="str">
        <f aca="false">IF(O59&gt;=50,"VERY","NOT VERY")</f>
        <v>NOT VERY</v>
      </c>
    </row>
    <row r="60" customFormat="false" ht="14.25" hidden="false" customHeight="false" outlineLevel="0" collapsed="false">
      <c r="A60" s="6" t="s">
        <v>60</v>
      </c>
      <c r="B60" s="6" t="s">
        <v>86</v>
      </c>
      <c r="C60" s="6" t="n">
        <v>10</v>
      </c>
      <c r="D60" s="6" t="s">
        <v>27</v>
      </c>
      <c r="E60" s="6" t="s">
        <v>20</v>
      </c>
      <c r="F60" s="6" t="n">
        <v>2022</v>
      </c>
      <c r="G60" s="6" t="n">
        <v>9.5</v>
      </c>
      <c r="H60" s="6" t="n">
        <v>1</v>
      </c>
      <c r="I60" s="6" t="n">
        <v>4</v>
      </c>
      <c r="J60" s="6" t="n">
        <v>3</v>
      </c>
      <c r="K60" s="6"/>
      <c r="L60" s="7" t="n">
        <f aca="false">SUM(I60:J60)</f>
        <v>7</v>
      </c>
      <c r="M60" s="6" t="n">
        <f aca="false">AVERAGE(I60:J60)</f>
        <v>3.5</v>
      </c>
      <c r="N60" s="6" t="n">
        <f aca="false">MEDIAN(I60:J60)</f>
        <v>3.5</v>
      </c>
      <c r="O60" s="6" t="n">
        <f aca="false">MAX(I60:J60)</f>
        <v>4</v>
      </c>
      <c r="P60" s="6" t="n">
        <f aca="false">MIN(I60:J60)</f>
        <v>3</v>
      </c>
      <c r="Q60" s="6" t="str">
        <f aca="false">IF(O60&gt;=50,"VERY","NOT VERY")</f>
        <v>NOT VERY</v>
      </c>
    </row>
    <row r="61" customFormat="false" ht="14.25" hidden="false" customHeight="false" outlineLevel="0" collapsed="false">
      <c r="A61" s="6" t="s">
        <v>60</v>
      </c>
      <c r="B61" s="6" t="s">
        <v>87</v>
      </c>
      <c r="C61" s="6" t="n">
        <v>14</v>
      </c>
      <c r="D61" s="6" t="s">
        <v>27</v>
      </c>
      <c r="E61" s="6" t="s">
        <v>24</v>
      </c>
      <c r="F61" s="6" t="n">
        <v>2018</v>
      </c>
      <c r="G61" s="6" t="n">
        <v>6.3</v>
      </c>
      <c r="H61" s="6" t="n">
        <v>10</v>
      </c>
      <c r="I61" s="6" t="n">
        <v>10</v>
      </c>
      <c r="J61" s="6" t="n">
        <v>30</v>
      </c>
      <c r="K61" s="6"/>
      <c r="L61" s="7" t="n">
        <f aca="false">SUM(I61:J61)</f>
        <v>40</v>
      </c>
      <c r="M61" s="6" t="n">
        <f aca="false">AVERAGE(I61:J61)</f>
        <v>20</v>
      </c>
      <c r="N61" s="6" t="n">
        <f aca="false">MEDIAN(I61:J61)</f>
        <v>20</v>
      </c>
      <c r="O61" s="6" t="n">
        <f aca="false">MAX(I61:J61)</f>
        <v>30</v>
      </c>
      <c r="P61" s="6" t="n">
        <f aca="false">MIN(I61:J61)</f>
        <v>10</v>
      </c>
      <c r="Q61" s="6" t="str">
        <f aca="false">IF(O61&gt;=50,"VERY","NOT VERY")</f>
        <v>NOT VERY</v>
      </c>
    </row>
    <row r="62" customFormat="false" ht="14.25" hidden="false" customHeight="false" outlineLevel="0" collapsed="false">
      <c r="A62" s="6" t="s">
        <v>60</v>
      </c>
      <c r="B62" s="6" t="s">
        <v>88</v>
      </c>
      <c r="C62" s="6" t="n">
        <v>5</v>
      </c>
      <c r="D62" s="6" t="s">
        <v>27</v>
      </c>
      <c r="E62" s="6" t="s">
        <v>24</v>
      </c>
      <c r="F62" s="6" t="n">
        <v>2017</v>
      </c>
      <c r="G62" s="6" t="n">
        <v>8.1</v>
      </c>
      <c r="H62" s="6" t="n">
        <v>9</v>
      </c>
      <c r="I62" s="6" t="n">
        <v>10</v>
      </c>
      <c r="J62" s="6" t="n">
        <v>27</v>
      </c>
      <c r="K62" s="6"/>
      <c r="L62" s="7" t="n">
        <f aca="false">SUM(I62:J62)</f>
        <v>37</v>
      </c>
      <c r="M62" s="6" t="n">
        <f aca="false">AVERAGE(I62:J62)</f>
        <v>18.5</v>
      </c>
      <c r="N62" s="6" t="n">
        <f aca="false">MEDIAN(I62:J62)</f>
        <v>18.5</v>
      </c>
      <c r="O62" s="6" t="n">
        <f aca="false">MAX(I62:J62)</f>
        <v>27</v>
      </c>
      <c r="P62" s="6" t="n">
        <f aca="false">MIN(I62:J62)</f>
        <v>10</v>
      </c>
      <c r="Q62" s="6" t="str">
        <f aca="false">IF(O62&gt;=50,"VERY","NOT VERY")</f>
        <v>NOT VERY</v>
      </c>
    </row>
    <row r="63" customFormat="false" ht="14.25" hidden="false" customHeight="false" outlineLevel="0" collapsed="false">
      <c r="A63" s="6" t="s">
        <v>60</v>
      </c>
      <c r="B63" s="6" t="s">
        <v>89</v>
      </c>
      <c r="C63" s="6" t="n">
        <v>5</v>
      </c>
      <c r="D63" s="6" t="s">
        <v>27</v>
      </c>
      <c r="E63" s="6" t="s">
        <v>24</v>
      </c>
      <c r="F63" s="6" t="n">
        <v>2016</v>
      </c>
      <c r="G63" s="6" t="n">
        <v>8.3</v>
      </c>
      <c r="H63" s="6" t="n">
        <v>10</v>
      </c>
      <c r="I63" s="6" t="n">
        <v>10</v>
      </c>
      <c r="J63" s="6" t="n">
        <v>50</v>
      </c>
      <c r="K63" s="6"/>
      <c r="L63" s="7" t="n">
        <f aca="false">SUM(I63:J63)</f>
        <v>60</v>
      </c>
      <c r="M63" s="6" t="n">
        <f aca="false">AVERAGE(I63:J63)</f>
        <v>30</v>
      </c>
      <c r="N63" s="6" t="n">
        <f aca="false">MEDIAN(I63:J63)</f>
        <v>30</v>
      </c>
      <c r="O63" s="6" t="n">
        <f aca="false">MAX(I63:J63)</f>
        <v>50</v>
      </c>
      <c r="P63" s="6" t="n">
        <f aca="false">MIN(I63:J63)</f>
        <v>10</v>
      </c>
      <c r="Q63" s="6" t="str">
        <f aca="false">IF(O63&gt;=50,"VERY","NOT VERY")</f>
        <v>VERY</v>
      </c>
    </row>
    <row r="64" customFormat="false" ht="14.25" hidden="false" customHeight="false" outlineLevel="0" collapsed="false">
      <c r="A64" s="6" t="s">
        <v>60</v>
      </c>
      <c r="B64" s="6" t="s">
        <v>90</v>
      </c>
      <c r="C64" s="6" t="n">
        <v>10</v>
      </c>
      <c r="D64" s="6" t="s">
        <v>19</v>
      </c>
      <c r="E64" s="6" t="s">
        <v>24</v>
      </c>
      <c r="F64" s="6" t="n">
        <v>2018</v>
      </c>
      <c r="G64" s="6" t="n">
        <v>9</v>
      </c>
      <c r="H64" s="6" t="n">
        <v>5</v>
      </c>
      <c r="I64" s="6" t="n">
        <v>6</v>
      </c>
      <c r="J64" s="6" t="n">
        <v>20</v>
      </c>
      <c r="K64" s="6"/>
      <c r="L64" s="7" t="n">
        <f aca="false">SUM(I64:J64)</f>
        <v>26</v>
      </c>
      <c r="M64" s="6" t="n">
        <f aca="false">AVERAGE(I64:J64)</f>
        <v>13</v>
      </c>
      <c r="N64" s="6" t="n">
        <f aca="false">MEDIAN(I64:J64)</f>
        <v>13</v>
      </c>
      <c r="O64" s="6" t="n">
        <f aca="false">MAX(I64:J64)</f>
        <v>20</v>
      </c>
      <c r="P64" s="6" t="n">
        <f aca="false">MIN(I64:J64)</f>
        <v>6</v>
      </c>
      <c r="Q64" s="6" t="str">
        <f aca="false">IF(O64&gt;=50,"VERY","NOT VERY")</f>
        <v>NOT VERY</v>
      </c>
    </row>
    <row r="65" customFormat="false" ht="14.25" hidden="false" customHeight="false" outlineLevel="0" collapsed="false">
      <c r="A65" s="6" t="s">
        <v>60</v>
      </c>
      <c r="B65" s="6" t="s">
        <v>91</v>
      </c>
      <c r="C65" s="6" t="n">
        <v>11</v>
      </c>
      <c r="D65" s="6" t="s">
        <v>19</v>
      </c>
      <c r="E65" s="6" t="s">
        <v>20</v>
      </c>
      <c r="F65" s="6" t="n">
        <v>2015</v>
      </c>
      <c r="G65" s="6" t="n">
        <v>9.1</v>
      </c>
      <c r="H65" s="6" t="n">
        <v>0</v>
      </c>
      <c r="I65" s="6" t="n">
        <v>1</v>
      </c>
      <c r="J65" s="6" t="n">
        <v>0</v>
      </c>
      <c r="K65" s="6"/>
      <c r="L65" s="7" t="n">
        <f aca="false">SUM(I65:J65)</f>
        <v>1</v>
      </c>
      <c r="M65" s="6" t="n">
        <f aca="false">AVERAGE(I65:J65)</f>
        <v>0.5</v>
      </c>
      <c r="N65" s="6" t="n">
        <f aca="false">MEDIAN(I65:J65)</f>
        <v>0.5</v>
      </c>
      <c r="O65" s="6" t="n">
        <f aca="false">MAX(I65:J65)</f>
        <v>1</v>
      </c>
      <c r="P65" s="6" t="n">
        <f aca="false">MIN(I65:J65)</f>
        <v>0</v>
      </c>
      <c r="Q65" s="6" t="str">
        <f aca="false">IF(O65&gt;=50,"VERY","NOT VERY")</f>
        <v>NOT VERY</v>
      </c>
    </row>
    <row r="66" customFormat="false" ht="14.25" hidden="false" customHeight="false" outlineLevel="0" collapsed="false">
      <c r="A66" s="6" t="s">
        <v>60</v>
      </c>
      <c r="B66" s="6" t="s">
        <v>92</v>
      </c>
      <c r="C66" s="6" t="n">
        <v>10</v>
      </c>
      <c r="D66" s="6" t="s">
        <v>27</v>
      </c>
      <c r="E66" s="6" t="s">
        <v>24</v>
      </c>
      <c r="F66" s="6" t="n">
        <v>2017</v>
      </c>
      <c r="G66" s="6" t="n">
        <v>7.8</v>
      </c>
      <c r="H66" s="6" t="n">
        <v>3</v>
      </c>
      <c r="I66" s="6" t="n">
        <v>4</v>
      </c>
      <c r="J66" s="6" t="n">
        <v>9</v>
      </c>
      <c r="K66" s="6"/>
      <c r="L66" s="7" t="n">
        <f aca="false">SUM(I66:J66)</f>
        <v>13</v>
      </c>
      <c r="M66" s="6" t="n">
        <f aca="false">AVERAGE(I66:J66)</f>
        <v>6.5</v>
      </c>
      <c r="N66" s="6" t="n">
        <f aca="false">MEDIAN(I66:J66)</f>
        <v>6.5</v>
      </c>
      <c r="O66" s="6" t="n">
        <f aca="false">MAX(I66:J66)</f>
        <v>9</v>
      </c>
      <c r="P66" s="6" t="n">
        <f aca="false">MIN(I66:J66)</f>
        <v>4</v>
      </c>
      <c r="Q66" s="6" t="str">
        <f aca="false">IF(O66&gt;=50,"VERY","NOT VERY")</f>
        <v>NOT VERY</v>
      </c>
    </row>
    <row r="67" customFormat="false" ht="14.25" hidden="false" customHeight="false" outlineLevel="0" collapsed="false">
      <c r="A67" s="6" t="s">
        <v>60</v>
      </c>
      <c r="B67" s="6" t="s">
        <v>93</v>
      </c>
      <c r="C67" s="6" t="n">
        <v>13</v>
      </c>
      <c r="D67" s="6" t="s">
        <v>19</v>
      </c>
      <c r="E67" s="6" t="s">
        <v>24</v>
      </c>
      <c r="F67" s="6" t="n">
        <v>2021</v>
      </c>
      <c r="G67" s="6" t="n">
        <v>9</v>
      </c>
      <c r="H67" s="6" t="n">
        <v>10</v>
      </c>
      <c r="I67" s="6" t="n">
        <v>11</v>
      </c>
      <c r="J67" s="6" t="n">
        <v>50</v>
      </c>
      <c r="K67" s="6"/>
      <c r="L67" s="7" t="n">
        <f aca="false">SUM(I67:J67)</f>
        <v>61</v>
      </c>
      <c r="M67" s="6" t="n">
        <f aca="false">AVERAGE(I67:J67)</f>
        <v>30.5</v>
      </c>
      <c r="N67" s="6" t="n">
        <f aca="false">MEDIAN(I67:J67)</f>
        <v>30.5</v>
      </c>
      <c r="O67" s="6" t="n">
        <f aca="false">MAX(I67:J67)</f>
        <v>50</v>
      </c>
      <c r="P67" s="6" t="n">
        <f aca="false">MIN(I67:J67)</f>
        <v>11</v>
      </c>
      <c r="Q67" s="6" t="str">
        <f aca="false">IF(O67&gt;=50,"VERY","NOT VERY")</f>
        <v>VERY</v>
      </c>
    </row>
    <row r="68" customFormat="false" ht="14.25" hidden="false" customHeight="false" outlineLevel="0" collapsed="false">
      <c r="A68" s="6" t="s">
        <v>60</v>
      </c>
      <c r="B68" s="6" t="s">
        <v>94</v>
      </c>
      <c r="C68" s="6" t="n">
        <v>8</v>
      </c>
      <c r="D68" s="6" t="s">
        <v>27</v>
      </c>
      <c r="E68" s="6" t="s">
        <v>24</v>
      </c>
      <c r="F68" s="6" t="n">
        <v>2016</v>
      </c>
      <c r="G68" s="6" t="n">
        <v>9.3</v>
      </c>
      <c r="H68" s="6" t="n">
        <v>10</v>
      </c>
      <c r="I68" s="6" t="n">
        <v>12</v>
      </c>
      <c r="J68" s="6" t="n">
        <v>30</v>
      </c>
      <c r="K68" s="6"/>
      <c r="L68" s="7" t="n">
        <f aca="false">SUM(I68:J68)</f>
        <v>42</v>
      </c>
      <c r="M68" s="6" t="n">
        <f aca="false">AVERAGE(I68:J68)</f>
        <v>21</v>
      </c>
      <c r="N68" s="6" t="n">
        <f aca="false">MEDIAN(I68:J68)</f>
        <v>21</v>
      </c>
      <c r="O68" s="6" t="n">
        <f aca="false">MAX(I68:J68)</f>
        <v>30</v>
      </c>
      <c r="P68" s="6" t="n">
        <f aca="false">MIN(I68:J68)</f>
        <v>12</v>
      </c>
      <c r="Q68" s="6" t="str">
        <f aca="false">IF(O68&gt;=50,"VERY","NOT VERY")</f>
        <v>NOT VERY</v>
      </c>
    </row>
    <row r="69" customFormat="false" ht="14.25" hidden="false" customHeight="false" outlineLevel="0" collapsed="false">
      <c r="A69" s="6" t="s">
        <v>95</v>
      </c>
      <c r="B69" s="6" t="s">
        <v>96</v>
      </c>
      <c r="C69" s="6" t="n">
        <v>14</v>
      </c>
      <c r="D69" s="6" t="s">
        <v>19</v>
      </c>
      <c r="E69" s="6" t="s">
        <v>24</v>
      </c>
      <c r="F69" s="6" t="n">
        <v>2023</v>
      </c>
      <c r="G69" s="6" t="n">
        <v>9.3</v>
      </c>
      <c r="H69" s="6" t="n">
        <v>5</v>
      </c>
      <c r="I69" s="6" t="n">
        <v>5</v>
      </c>
      <c r="J69" s="6" t="n">
        <v>15</v>
      </c>
      <c r="K69" s="6"/>
      <c r="L69" s="7" t="n">
        <f aca="false">SUM(I69:J69)</f>
        <v>20</v>
      </c>
      <c r="M69" s="6" t="n">
        <f aca="false">AVERAGE(I69:J69)</f>
        <v>10</v>
      </c>
      <c r="N69" s="6" t="n">
        <f aca="false">MEDIAN(I69:J69)</f>
        <v>10</v>
      </c>
      <c r="O69" s="6" t="n">
        <f aca="false">MAX(I69:J69)</f>
        <v>15</v>
      </c>
      <c r="P69" s="6" t="n">
        <f aca="false">MIN(I69:J69)</f>
        <v>5</v>
      </c>
      <c r="Q69" s="6" t="str">
        <f aca="false">IF(O69&gt;=50,"VERY","NOT VERY")</f>
        <v>NOT VERY</v>
      </c>
    </row>
    <row r="70" customFormat="false" ht="14.25" hidden="false" customHeight="false" outlineLevel="0" collapsed="false">
      <c r="A70" s="6" t="s">
        <v>95</v>
      </c>
      <c r="B70" s="6" t="s">
        <v>97</v>
      </c>
      <c r="C70" s="6" t="n">
        <v>13</v>
      </c>
      <c r="D70" s="6" t="s">
        <v>27</v>
      </c>
      <c r="E70" s="6" t="s">
        <v>24</v>
      </c>
      <c r="F70" s="6" t="n">
        <v>2019</v>
      </c>
      <c r="G70" s="6" t="n">
        <v>9.2</v>
      </c>
      <c r="H70" s="6" t="n">
        <v>8</v>
      </c>
      <c r="I70" s="6" t="n">
        <v>9</v>
      </c>
      <c r="J70" s="6" t="n">
        <v>16</v>
      </c>
      <c r="K70" s="6"/>
      <c r="L70" s="7" t="n">
        <f aca="false">SUM(I70:J70)</f>
        <v>25</v>
      </c>
      <c r="M70" s="6" t="n">
        <f aca="false">AVERAGE(I70:J70)</f>
        <v>12.5</v>
      </c>
      <c r="N70" s="6" t="n">
        <f aca="false">MEDIAN(I70:J70)</f>
        <v>12.5</v>
      </c>
      <c r="O70" s="6" t="n">
        <f aca="false">MAX(I70:J70)</f>
        <v>16</v>
      </c>
      <c r="P70" s="6" t="n">
        <f aca="false">MIN(I70:J70)</f>
        <v>9</v>
      </c>
      <c r="Q70" s="6" t="str">
        <f aca="false">IF(O70&gt;=50,"VERY","NOT VERY")</f>
        <v>NOT VERY</v>
      </c>
    </row>
    <row r="71" customFormat="false" ht="14.25" hidden="false" customHeight="false" outlineLevel="0" collapsed="false">
      <c r="A71" s="6" t="s">
        <v>95</v>
      </c>
      <c r="B71" s="6" t="s">
        <v>98</v>
      </c>
      <c r="C71" s="6" t="n">
        <v>12</v>
      </c>
      <c r="D71" s="6" t="s">
        <v>19</v>
      </c>
      <c r="E71" s="6" t="s">
        <v>24</v>
      </c>
      <c r="F71" s="6" t="n">
        <v>2018</v>
      </c>
      <c r="G71" s="6" t="n">
        <v>7.3</v>
      </c>
      <c r="H71" s="6" t="n">
        <v>8</v>
      </c>
      <c r="I71" s="6" t="n">
        <v>11</v>
      </c>
      <c r="J71" s="6" t="n">
        <v>32</v>
      </c>
      <c r="K71" s="6"/>
      <c r="L71" s="7" t="n">
        <f aca="false">SUM(I71:J71)</f>
        <v>43</v>
      </c>
      <c r="M71" s="6" t="n">
        <f aca="false">AVERAGE(I71:J71)</f>
        <v>21.5</v>
      </c>
      <c r="N71" s="6" t="n">
        <f aca="false">MEDIAN(I71:J71)</f>
        <v>21.5</v>
      </c>
      <c r="O71" s="6" t="n">
        <f aca="false">MAX(I71:J71)</f>
        <v>32</v>
      </c>
      <c r="P71" s="6" t="n">
        <f aca="false">MIN(I71:J71)</f>
        <v>11</v>
      </c>
      <c r="Q71" s="6" t="str">
        <f aca="false">IF(O71&gt;=50,"VERY","NOT VERY")</f>
        <v>NOT VERY</v>
      </c>
    </row>
    <row r="72" customFormat="false" ht="14.25" hidden="false" customHeight="false" outlineLevel="0" collapsed="false">
      <c r="A72" s="6" t="s">
        <v>95</v>
      </c>
      <c r="B72" s="6" t="s">
        <v>99</v>
      </c>
      <c r="C72" s="6" t="n">
        <v>12</v>
      </c>
      <c r="D72" s="6" t="s">
        <v>19</v>
      </c>
      <c r="E72" s="6" t="s">
        <v>24</v>
      </c>
      <c r="F72" s="6" t="n">
        <v>2019</v>
      </c>
      <c r="G72" s="6" t="n">
        <v>9</v>
      </c>
      <c r="H72" s="6" t="n">
        <v>10</v>
      </c>
      <c r="I72" s="6" t="n">
        <v>11</v>
      </c>
      <c r="J72" s="6" t="n">
        <v>20</v>
      </c>
      <c r="K72" s="6"/>
      <c r="L72" s="7" t="n">
        <f aca="false">SUM(I72:J72)</f>
        <v>31</v>
      </c>
      <c r="M72" s="6" t="n">
        <f aca="false">AVERAGE(I72:J72)</f>
        <v>15.5</v>
      </c>
      <c r="N72" s="6" t="n">
        <f aca="false">MEDIAN(I72:J72)</f>
        <v>15.5</v>
      </c>
      <c r="O72" s="6" t="n">
        <f aca="false">MAX(I72:J72)</f>
        <v>20</v>
      </c>
      <c r="P72" s="6" t="n">
        <f aca="false">MIN(I72:J72)</f>
        <v>11</v>
      </c>
      <c r="Q72" s="6" t="str">
        <f aca="false">IF(O72&gt;=50,"VERY","NOT VERY")</f>
        <v>NOT VERY</v>
      </c>
    </row>
    <row r="73" customFormat="false" ht="14.25" hidden="false" customHeight="false" outlineLevel="0" collapsed="false">
      <c r="A73" s="6" t="s">
        <v>95</v>
      </c>
      <c r="B73" s="6" t="s">
        <v>100</v>
      </c>
      <c r="C73" s="6" t="n">
        <v>9</v>
      </c>
      <c r="D73" s="6" t="s">
        <v>27</v>
      </c>
      <c r="E73" s="6" t="s">
        <v>24</v>
      </c>
      <c r="F73" s="6" t="n">
        <v>2018</v>
      </c>
      <c r="G73" s="6" t="n">
        <v>6.7</v>
      </c>
      <c r="H73" s="6" t="n">
        <v>8</v>
      </c>
      <c r="I73" s="6" t="n">
        <v>8</v>
      </c>
      <c r="J73" s="6" t="n">
        <v>24</v>
      </c>
      <c r="K73" s="6"/>
      <c r="L73" s="7" t="n">
        <f aca="false">SUM(I73:J73)</f>
        <v>32</v>
      </c>
      <c r="M73" s="6" t="n">
        <f aca="false">AVERAGE(I73:J73)</f>
        <v>16</v>
      </c>
      <c r="N73" s="6" t="n">
        <f aca="false">MEDIAN(I73:J73)</f>
        <v>16</v>
      </c>
      <c r="O73" s="6" t="n">
        <f aca="false">MAX(I73:J73)</f>
        <v>24</v>
      </c>
      <c r="P73" s="6" t="n">
        <f aca="false">MIN(I73:J73)</f>
        <v>8</v>
      </c>
      <c r="Q73" s="6" t="str">
        <f aca="false">IF(O73&gt;=50,"VERY","NOT VERY")</f>
        <v>NOT VERY</v>
      </c>
    </row>
    <row r="74" customFormat="false" ht="14.25" hidden="false" customHeight="false" outlineLevel="0" collapsed="false">
      <c r="A74" s="6" t="s">
        <v>95</v>
      </c>
      <c r="B74" s="6" t="s">
        <v>101</v>
      </c>
      <c r="C74" s="6" t="n">
        <v>15</v>
      </c>
      <c r="D74" s="6" t="s">
        <v>27</v>
      </c>
      <c r="E74" s="6" t="s">
        <v>24</v>
      </c>
      <c r="F74" s="6" t="n">
        <v>2019</v>
      </c>
      <c r="G74" s="6" t="n">
        <v>6.4</v>
      </c>
      <c r="H74" s="6" t="n">
        <v>3</v>
      </c>
      <c r="I74" s="6" t="n">
        <v>4</v>
      </c>
      <c r="J74" s="6" t="n">
        <v>15</v>
      </c>
      <c r="K74" s="6"/>
      <c r="L74" s="7" t="n">
        <f aca="false">SUM(I74:J74)</f>
        <v>19</v>
      </c>
      <c r="M74" s="6" t="n">
        <f aca="false">AVERAGE(I74:J74)</f>
        <v>9.5</v>
      </c>
      <c r="N74" s="6" t="n">
        <f aca="false">MEDIAN(I74:J74)</f>
        <v>9.5</v>
      </c>
      <c r="O74" s="6" t="n">
        <f aca="false">MAX(I74:J74)</f>
        <v>15</v>
      </c>
      <c r="P74" s="6" t="n">
        <f aca="false">MIN(I74:J74)</f>
        <v>4</v>
      </c>
      <c r="Q74" s="6" t="str">
        <f aca="false">IF(O74&gt;=50,"VERY","NOT VERY")</f>
        <v>NOT VERY</v>
      </c>
    </row>
    <row r="75" customFormat="false" ht="14.25" hidden="false" customHeight="false" outlineLevel="0" collapsed="false">
      <c r="A75" s="6" t="s">
        <v>95</v>
      </c>
      <c r="B75" s="6" t="s">
        <v>102</v>
      </c>
      <c r="C75" s="6" t="n">
        <v>9</v>
      </c>
      <c r="D75" s="6" t="s">
        <v>27</v>
      </c>
      <c r="E75" s="6" t="s">
        <v>20</v>
      </c>
      <c r="F75" s="6" t="n">
        <v>2023</v>
      </c>
      <c r="G75" s="6" t="n">
        <v>11</v>
      </c>
      <c r="H75" s="6" t="n">
        <v>5</v>
      </c>
      <c r="I75" s="6" t="n">
        <v>6</v>
      </c>
      <c r="J75" s="6" t="n">
        <v>15</v>
      </c>
      <c r="K75" s="6"/>
      <c r="L75" s="7" t="n">
        <f aca="false">SUM(I75:J75)</f>
        <v>21</v>
      </c>
      <c r="M75" s="6" t="n">
        <f aca="false">AVERAGE(I75:J75)</f>
        <v>10.5</v>
      </c>
      <c r="N75" s="6" t="n">
        <f aca="false">MEDIAN(I75:J75)</f>
        <v>10.5</v>
      </c>
      <c r="O75" s="6" t="n">
        <f aca="false">MAX(I75:J75)</f>
        <v>15</v>
      </c>
      <c r="P75" s="6" t="n">
        <f aca="false">MIN(I75:J75)</f>
        <v>6</v>
      </c>
      <c r="Q75" s="6" t="str">
        <f aca="false">IF(O75&gt;=50,"VERY","NOT VERY")</f>
        <v>NOT VERY</v>
      </c>
    </row>
    <row r="76" customFormat="false" ht="14.25" hidden="false" customHeight="false" outlineLevel="0" collapsed="false">
      <c r="A76" s="6" t="s">
        <v>95</v>
      </c>
      <c r="B76" s="6" t="s">
        <v>103</v>
      </c>
      <c r="C76" s="6" t="n">
        <v>5</v>
      </c>
      <c r="D76" s="6" t="s">
        <v>27</v>
      </c>
      <c r="E76" s="6" t="s">
        <v>24</v>
      </c>
      <c r="F76" s="6" t="n">
        <v>2023</v>
      </c>
      <c r="G76" s="6" t="n">
        <v>6.9</v>
      </c>
      <c r="H76" s="6" t="n">
        <v>10</v>
      </c>
      <c r="I76" s="6" t="n">
        <v>12</v>
      </c>
      <c r="J76" s="6" t="n">
        <v>30</v>
      </c>
      <c r="K76" s="6"/>
      <c r="L76" s="7" t="n">
        <f aca="false">SUM(I76:J76)</f>
        <v>42</v>
      </c>
      <c r="M76" s="6" t="n">
        <f aca="false">AVERAGE(I76:J76)</f>
        <v>21</v>
      </c>
      <c r="N76" s="6" t="n">
        <f aca="false">MEDIAN(I76:J76)</f>
        <v>21</v>
      </c>
      <c r="O76" s="6" t="n">
        <f aca="false">MAX(I76:J76)</f>
        <v>30</v>
      </c>
      <c r="P76" s="6" t="n">
        <f aca="false">MIN(I76:J76)</f>
        <v>12</v>
      </c>
      <c r="Q76" s="6" t="str">
        <f aca="false">IF(O76&gt;=50,"VERY","NOT VERY")</f>
        <v>NOT VERY</v>
      </c>
    </row>
    <row r="77" customFormat="false" ht="14.25" hidden="false" customHeight="false" outlineLevel="0" collapsed="false">
      <c r="A77" s="6" t="s">
        <v>95</v>
      </c>
      <c r="B77" s="6" t="s">
        <v>104</v>
      </c>
      <c r="C77" s="6" t="n">
        <v>8</v>
      </c>
      <c r="D77" s="6" t="s">
        <v>19</v>
      </c>
      <c r="E77" s="6" t="s">
        <v>24</v>
      </c>
      <c r="F77" s="6" t="n">
        <v>2015</v>
      </c>
      <c r="G77" s="6" t="n">
        <v>7.4</v>
      </c>
      <c r="H77" s="6" t="n">
        <v>3</v>
      </c>
      <c r="I77" s="6" t="n">
        <v>6</v>
      </c>
      <c r="J77" s="6" t="n">
        <v>6</v>
      </c>
      <c r="K77" s="6"/>
      <c r="L77" s="7" t="n">
        <f aca="false">SUM(I77:J77)</f>
        <v>12</v>
      </c>
      <c r="M77" s="6" t="n">
        <f aca="false">AVERAGE(I77:J77)</f>
        <v>6</v>
      </c>
      <c r="N77" s="6" t="n">
        <f aca="false">MEDIAN(I77:J77)</f>
        <v>6</v>
      </c>
      <c r="O77" s="6" t="n">
        <f aca="false">MAX(I77:J77)</f>
        <v>6</v>
      </c>
      <c r="P77" s="6" t="n">
        <f aca="false">MIN(I77:J77)</f>
        <v>6</v>
      </c>
      <c r="Q77" s="6" t="str">
        <f aca="false">IF(O77&gt;=50,"VERY","NOT VERY")</f>
        <v>NOT VERY</v>
      </c>
    </row>
    <row r="78" customFormat="false" ht="14.25" hidden="false" customHeight="false" outlineLevel="0" collapsed="false">
      <c r="A78" s="6" t="s">
        <v>95</v>
      </c>
      <c r="B78" s="6" t="s">
        <v>105</v>
      </c>
      <c r="C78" s="6" t="n">
        <v>6</v>
      </c>
      <c r="D78" s="6" t="s">
        <v>19</v>
      </c>
      <c r="E78" s="6" t="s">
        <v>24</v>
      </c>
      <c r="F78" s="6" t="n">
        <v>2022</v>
      </c>
      <c r="G78" s="6" t="n">
        <v>8</v>
      </c>
      <c r="H78" s="6" t="n">
        <v>6</v>
      </c>
      <c r="I78" s="6" t="n">
        <v>8</v>
      </c>
      <c r="J78" s="6" t="n">
        <v>30</v>
      </c>
      <c r="K78" s="6"/>
      <c r="L78" s="7" t="n">
        <f aca="false">SUM(I78:J78)</f>
        <v>38</v>
      </c>
      <c r="M78" s="6" t="n">
        <f aca="false">AVERAGE(I78:J78)</f>
        <v>19</v>
      </c>
      <c r="N78" s="6" t="n">
        <f aca="false">MEDIAN(I78:J78)</f>
        <v>19</v>
      </c>
      <c r="O78" s="6" t="n">
        <f aca="false">MAX(I78:J78)</f>
        <v>30</v>
      </c>
      <c r="P78" s="6" t="n">
        <f aca="false">MIN(I78:J78)</f>
        <v>8</v>
      </c>
      <c r="Q78" s="6" t="str">
        <f aca="false">IF(O78&gt;=50,"VERY","NOT VERY")</f>
        <v>NOT VERY</v>
      </c>
    </row>
    <row r="79" customFormat="false" ht="14.25" hidden="false" customHeight="false" outlineLevel="0" collapsed="false">
      <c r="A79" s="6" t="s">
        <v>95</v>
      </c>
      <c r="B79" s="6" t="s">
        <v>106</v>
      </c>
      <c r="C79" s="6" t="n">
        <v>4</v>
      </c>
      <c r="D79" s="6" t="s">
        <v>27</v>
      </c>
      <c r="E79" s="6" t="s">
        <v>24</v>
      </c>
      <c r="F79" s="6" t="n">
        <v>2023</v>
      </c>
      <c r="G79" s="6" t="n">
        <v>6.7</v>
      </c>
      <c r="H79" s="6" t="n">
        <v>7</v>
      </c>
      <c r="I79" s="6" t="n">
        <v>7</v>
      </c>
      <c r="J79" s="6" t="n">
        <v>21</v>
      </c>
      <c r="K79" s="6"/>
      <c r="L79" s="7" t="n">
        <f aca="false">SUM(I79:J79)</f>
        <v>28</v>
      </c>
      <c r="M79" s="6" t="n">
        <f aca="false">AVERAGE(I79:J79)</f>
        <v>14</v>
      </c>
      <c r="N79" s="6" t="n">
        <f aca="false">MEDIAN(I79:J79)</f>
        <v>14</v>
      </c>
      <c r="O79" s="6" t="n">
        <f aca="false">MAX(I79:J79)</f>
        <v>21</v>
      </c>
      <c r="P79" s="6" t="n">
        <f aca="false">MIN(I79:J79)</f>
        <v>7</v>
      </c>
      <c r="Q79" s="6" t="str">
        <f aca="false">IF(O79&gt;=50,"VERY","NOT VERY")</f>
        <v>NOT VERY</v>
      </c>
    </row>
    <row r="80" customFormat="false" ht="14.25" hidden="false" customHeight="false" outlineLevel="0" collapsed="false">
      <c r="A80" s="6" t="s">
        <v>95</v>
      </c>
      <c r="B80" s="6" t="s">
        <v>107</v>
      </c>
      <c r="C80" s="6" t="n">
        <v>5</v>
      </c>
      <c r="D80" s="6" t="s">
        <v>27</v>
      </c>
      <c r="E80" s="6" t="s">
        <v>24</v>
      </c>
      <c r="F80" s="6" t="n">
        <v>2021</v>
      </c>
      <c r="G80" s="6" t="n">
        <v>6.8</v>
      </c>
      <c r="H80" s="6" t="n">
        <v>6</v>
      </c>
      <c r="I80" s="6" t="n">
        <v>8</v>
      </c>
      <c r="J80" s="6" t="n">
        <v>24</v>
      </c>
      <c r="K80" s="6"/>
      <c r="L80" s="7" t="n">
        <f aca="false">SUM(I80:J80)</f>
        <v>32</v>
      </c>
      <c r="M80" s="6" t="n">
        <f aca="false">AVERAGE(I80:J80)</f>
        <v>16</v>
      </c>
      <c r="N80" s="6" t="n">
        <f aca="false">MEDIAN(I80:J80)</f>
        <v>16</v>
      </c>
      <c r="O80" s="6" t="n">
        <f aca="false">MAX(I80:J80)</f>
        <v>24</v>
      </c>
      <c r="P80" s="6" t="n">
        <f aca="false">MIN(I80:J80)</f>
        <v>8</v>
      </c>
      <c r="Q80" s="6" t="str">
        <f aca="false">IF(O80&gt;=50,"VERY","NOT VERY")</f>
        <v>NOT VERY</v>
      </c>
    </row>
    <row r="81" customFormat="false" ht="14.25" hidden="false" customHeight="false" outlineLevel="0" collapsed="false">
      <c r="A81" s="6" t="s">
        <v>95</v>
      </c>
      <c r="B81" s="6" t="s">
        <v>108</v>
      </c>
      <c r="C81" s="6" t="n">
        <v>7</v>
      </c>
      <c r="D81" s="6" t="s">
        <v>19</v>
      </c>
      <c r="E81" s="6" t="s">
        <v>24</v>
      </c>
      <c r="F81" s="6" t="n">
        <v>2018</v>
      </c>
      <c r="G81" s="6" t="n">
        <v>7.3</v>
      </c>
      <c r="H81" s="6" t="n">
        <v>9</v>
      </c>
      <c r="I81" s="6" t="n">
        <v>9</v>
      </c>
      <c r="J81" s="6" t="n">
        <v>18</v>
      </c>
      <c r="K81" s="6"/>
      <c r="L81" s="7" t="n">
        <f aca="false">SUM(I81:J81)</f>
        <v>27</v>
      </c>
      <c r="M81" s="6" t="n">
        <f aca="false">AVERAGE(I81:J81)</f>
        <v>13.5</v>
      </c>
      <c r="N81" s="6" t="n">
        <f aca="false">MEDIAN(I81:J81)</f>
        <v>13.5</v>
      </c>
      <c r="O81" s="6" t="n">
        <f aca="false">MAX(I81:J81)</f>
        <v>18</v>
      </c>
      <c r="P81" s="6" t="n">
        <f aca="false">MIN(I81:J81)</f>
        <v>9</v>
      </c>
      <c r="Q81" s="6" t="str">
        <f aca="false">IF(O81&gt;=50,"VERY","NOT VERY")</f>
        <v>NOT VERY</v>
      </c>
    </row>
    <row r="82" customFormat="false" ht="14.25" hidden="false" customHeight="false" outlineLevel="0" collapsed="false">
      <c r="A82" s="6" t="s">
        <v>95</v>
      </c>
      <c r="B82" s="6" t="s">
        <v>109</v>
      </c>
      <c r="C82" s="6" t="n">
        <v>8</v>
      </c>
      <c r="D82" s="6" t="s">
        <v>19</v>
      </c>
      <c r="E82" s="6" t="s">
        <v>24</v>
      </c>
      <c r="F82" s="6" t="n">
        <v>2015</v>
      </c>
      <c r="G82" s="6" t="n">
        <v>6.3</v>
      </c>
      <c r="H82" s="6" t="n">
        <v>10</v>
      </c>
      <c r="I82" s="6" t="n">
        <v>10</v>
      </c>
      <c r="J82" s="6" t="n">
        <v>30</v>
      </c>
      <c r="K82" s="6"/>
      <c r="L82" s="7" t="n">
        <f aca="false">SUM(I82:J82)</f>
        <v>40</v>
      </c>
      <c r="M82" s="6" t="n">
        <f aca="false">AVERAGE(I82:J82)</f>
        <v>20</v>
      </c>
      <c r="N82" s="6" t="n">
        <f aca="false">MEDIAN(I82:J82)</f>
        <v>20</v>
      </c>
      <c r="O82" s="6" t="n">
        <f aca="false">MAX(I82:J82)</f>
        <v>30</v>
      </c>
      <c r="P82" s="6" t="n">
        <f aca="false">MIN(I82:J82)</f>
        <v>10</v>
      </c>
      <c r="Q82" s="6" t="str">
        <f aca="false">IF(O82&gt;=50,"VERY","NOT VERY")</f>
        <v>NOT VERY</v>
      </c>
    </row>
    <row r="83" customFormat="false" ht="14.25" hidden="false" customHeight="false" outlineLevel="0" collapsed="false">
      <c r="A83" s="6" t="s">
        <v>95</v>
      </c>
      <c r="B83" s="6" t="s">
        <v>110</v>
      </c>
      <c r="C83" s="6" t="n">
        <v>5</v>
      </c>
      <c r="D83" s="6" t="s">
        <v>19</v>
      </c>
      <c r="E83" s="6" t="s">
        <v>24</v>
      </c>
      <c r="F83" s="6" t="n">
        <v>2020</v>
      </c>
      <c r="G83" s="6" t="n">
        <v>7.7</v>
      </c>
      <c r="H83" s="6" t="n">
        <v>9</v>
      </c>
      <c r="I83" s="6" t="n">
        <v>12</v>
      </c>
      <c r="J83" s="6" t="n">
        <v>45</v>
      </c>
      <c r="K83" s="6"/>
      <c r="L83" s="7" t="n">
        <f aca="false">SUM(I83:J83)</f>
        <v>57</v>
      </c>
      <c r="M83" s="6" t="n">
        <f aca="false">AVERAGE(I83:J83)</f>
        <v>28.5</v>
      </c>
      <c r="N83" s="6" t="n">
        <f aca="false">MEDIAN(I83:J83)</f>
        <v>28.5</v>
      </c>
      <c r="O83" s="6" t="n">
        <f aca="false">MAX(I83:J83)</f>
        <v>45</v>
      </c>
      <c r="P83" s="6" t="n">
        <f aca="false">MIN(I83:J83)</f>
        <v>12</v>
      </c>
      <c r="Q83" s="6" t="str">
        <f aca="false">IF(O83&gt;=50,"VERY","NOT VERY")</f>
        <v>NOT VERY</v>
      </c>
    </row>
    <row r="84" customFormat="false" ht="14.25" hidden="false" customHeight="false" outlineLevel="0" collapsed="false">
      <c r="A84" s="6" t="s">
        <v>95</v>
      </c>
      <c r="B84" s="6" t="s">
        <v>111</v>
      </c>
      <c r="C84" s="6" t="n">
        <v>7</v>
      </c>
      <c r="D84" s="6" t="s">
        <v>19</v>
      </c>
      <c r="E84" s="6" t="s">
        <v>20</v>
      </c>
      <c r="F84" s="6" t="n">
        <v>2019</v>
      </c>
      <c r="G84" s="6" t="n">
        <v>11.4</v>
      </c>
      <c r="H84" s="6" t="n">
        <v>1</v>
      </c>
      <c r="I84" s="6" t="n">
        <v>4</v>
      </c>
      <c r="J84" s="6" t="n">
        <v>2</v>
      </c>
      <c r="K84" s="6"/>
      <c r="L84" s="7" t="n">
        <f aca="false">SUM(I84:J84)</f>
        <v>6</v>
      </c>
      <c r="M84" s="6" t="n">
        <f aca="false">AVERAGE(I84:J84)</f>
        <v>3</v>
      </c>
      <c r="N84" s="6" t="n">
        <f aca="false">MEDIAN(I84:J84)</f>
        <v>3</v>
      </c>
      <c r="O84" s="6" t="n">
        <f aca="false">MAX(I84:J84)</f>
        <v>4</v>
      </c>
      <c r="P84" s="6" t="n">
        <f aca="false">MIN(I84:J84)</f>
        <v>2</v>
      </c>
      <c r="Q84" s="6" t="str">
        <f aca="false">IF(O84&gt;=50,"VERY","NOT VERY")</f>
        <v>NOT VERY</v>
      </c>
    </row>
    <row r="85" customFormat="false" ht="14.25" hidden="false" customHeight="false" outlineLevel="0" collapsed="false">
      <c r="A85" s="6" t="s">
        <v>95</v>
      </c>
      <c r="B85" s="6" t="s">
        <v>112</v>
      </c>
      <c r="C85" s="6" t="n">
        <v>11</v>
      </c>
      <c r="D85" s="6" t="s">
        <v>27</v>
      </c>
      <c r="E85" s="6" t="s">
        <v>24</v>
      </c>
      <c r="F85" s="6" t="n">
        <v>2022</v>
      </c>
      <c r="G85" s="6" t="n">
        <v>7.8</v>
      </c>
      <c r="H85" s="6" t="n">
        <v>8</v>
      </c>
      <c r="I85" s="6" t="n">
        <v>9</v>
      </c>
      <c r="J85" s="6" t="n">
        <v>32</v>
      </c>
      <c r="K85" s="6"/>
      <c r="L85" s="7" t="n">
        <f aca="false">SUM(I85:J85)</f>
        <v>41</v>
      </c>
      <c r="M85" s="6" t="n">
        <f aca="false">AVERAGE(I85:J85)</f>
        <v>20.5</v>
      </c>
      <c r="N85" s="6" t="n">
        <f aca="false">MEDIAN(I85:J85)</f>
        <v>20.5</v>
      </c>
      <c r="O85" s="6" t="n">
        <f aca="false">MAX(I85:J85)</f>
        <v>32</v>
      </c>
      <c r="P85" s="6" t="n">
        <f aca="false">MIN(I85:J85)</f>
        <v>9</v>
      </c>
      <c r="Q85" s="6" t="str">
        <f aca="false">IF(O85&gt;=50,"VERY","NOT VERY")</f>
        <v>NOT VERY</v>
      </c>
    </row>
    <row r="86" customFormat="false" ht="14.25" hidden="false" customHeight="false" outlineLevel="0" collapsed="false">
      <c r="A86" s="6" t="s">
        <v>95</v>
      </c>
      <c r="B86" s="6" t="s">
        <v>113</v>
      </c>
      <c r="C86" s="6" t="n">
        <v>15</v>
      </c>
      <c r="D86" s="6" t="s">
        <v>19</v>
      </c>
      <c r="E86" s="6" t="s">
        <v>24</v>
      </c>
      <c r="F86" s="6" t="n">
        <v>2021</v>
      </c>
      <c r="G86" s="6" t="n">
        <v>8.5</v>
      </c>
      <c r="H86" s="6" t="n">
        <v>9</v>
      </c>
      <c r="I86" s="6" t="n">
        <v>9</v>
      </c>
      <c r="J86" s="6" t="n">
        <v>36</v>
      </c>
      <c r="K86" s="6"/>
      <c r="L86" s="7" t="n">
        <f aca="false">SUM(I86:J86)</f>
        <v>45</v>
      </c>
      <c r="M86" s="6" t="n">
        <f aca="false">AVERAGE(I86:J86)</f>
        <v>22.5</v>
      </c>
      <c r="N86" s="6" t="n">
        <f aca="false">MEDIAN(I86:J86)</f>
        <v>22.5</v>
      </c>
      <c r="O86" s="6" t="n">
        <f aca="false">MAX(I86:J86)</f>
        <v>36</v>
      </c>
      <c r="P86" s="6" t="n">
        <f aca="false">MIN(I86:J86)</f>
        <v>9</v>
      </c>
      <c r="Q86" s="6" t="str">
        <f aca="false">IF(O86&gt;=50,"VERY","NOT VERY")</f>
        <v>NOT VERY</v>
      </c>
    </row>
    <row r="87" customFormat="false" ht="14.25" hidden="false" customHeight="false" outlineLevel="0" collapsed="false">
      <c r="A87" s="6" t="s">
        <v>95</v>
      </c>
      <c r="B87" s="6" t="s">
        <v>114</v>
      </c>
      <c r="C87" s="6" t="n">
        <v>10</v>
      </c>
      <c r="D87" s="6" t="s">
        <v>27</v>
      </c>
      <c r="E87" s="6" t="s">
        <v>24</v>
      </c>
      <c r="F87" s="6" t="n">
        <v>2023</v>
      </c>
      <c r="G87" s="6" t="n">
        <v>7</v>
      </c>
      <c r="H87" s="6" t="n">
        <v>10</v>
      </c>
      <c r="I87" s="6" t="n">
        <v>13</v>
      </c>
      <c r="J87" s="6" t="n">
        <v>50</v>
      </c>
      <c r="K87" s="6"/>
      <c r="L87" s="7" t="n">
        <f aca="false">SUM(I87:J87)</f>
        <v>63</v>
      </c>
      <c r="M87" s="6" t="n">
        <f aca="false">AVERAGE(I87:J87)</f>
        <v>31.5</v>
      </c>
      <c r="N87" s="6" t="n">
        <f aca="false">MEDIAN(I87:J87)</f>
        <v>31.5</v>
      </c>
      <c r="O87" s="6" t="n">
        <f aca="false">MAX(I87:J87)</f>
        <v>50</v>
      </c>
      <c r="P87" s="6" t="n">
        <f aca="false">MIN(I87:J87)</f>
        <v>13</v>
      </c>
      <c r="Q87" s="6" t="str">
        <f aca="false">IF(O87&gt;=50,"VERY","NOT VERY")</f>
        <v>VERY</v>
      </c>
    </row>
    <row r="88" customFormat="false" ht="14.25" hidden="false" customHeight="false" outlineLevel="0" collapsed="false">
      <c r="A88" s="6" t="s">
        <v>95</v>
      </c>
      <c r="B88" s="6" t="s">
        <v>115</v>
      </c>
      <c r="C88" s="6" t="n">
        <v>3</v>
      </c>
      <c r="D88" s="6" t="s">
        <v>19</v>
      </c>
      <c r="E88" s="6" t="s">
        <v>24</v>
      </c>
      <c r="F88" s="6" t="n">
        <v>2020</v>
      </c>
      <c r="G88" s="6" t="n">
        <v>7.8</v>
      </c>
      <c r="H88" s="6" t="n">
        <v>7</v>
      </c>
      <c r="I88" s="6" t="n">
        <v>7</v>
      </c>
      <c r="J88" s="6" t="n">
        <v>35</v>
      </c>
      <c r="K88" s="6"/>
      <c r="L88" s="7" t="n">
        <f aca="false">SUM(I88:J88)</f>
        <v>42</v>
      </c>
      <c r="M88" s="6" t="n">
        <f aca="false">AVERAGE(I88:J88)</f>
        <v>21</v>
      </c>
      <c r="N88" s="6" t="n">
        <f aca="false">MEDIAN(I88:J88)</f>
        <v>21</v>
      </c>
      <c r="O88" s="6" t="n">
        <f aca="false">MAX(I88:J88)</f>
        <v>35</v>
      </c>
      <c r="P88" s="6" t="n">
        <f aca="false">MIN(I88:J88)</f>
        <v>7</v>
      </c>
      <c r="Q88" s="6" t="str">
        <f aca="false">IF(O88&gt;=50,"VERY","NOT VERY")</f>
        <v>NOT VERY</v>
      </c>
    </row>
    <row r="89" customFormat="false" ht="14.25" hidden="false" customHeight="false" outlineLevel="0" collapsed="false">
      <c r="A89" s="6" t="s">
        <v>95</v>
      </c>
      <c r="B89" s="6" t="s">
        <v>116</v>
      </c>
      <c r="C89" s="6" t="n">
        <v>14</v>
      </c>
      <c r="D89" s="6" t="s">
        <v>19</v>
      </c>
      <c r="E89" s="6" t="s">
        <v>20</v>
      </c>
      <c r="F89" s="6" t="n">
        <v>2017</v>
      </c>
      <c r="G89" s="6" t="n">
        <v>10.7</v>
      </c>
      <c r="H89" s="6" t="n">
        <v>0</v>
      </c>
      <c r="I89" s="6" t="n">
        <v>3</v>
      </c>
      <c r="J89" s="6" t="n">
        <v>0</v>
      </c>
      <c r="K89" s="6"/>
      <c r="L89" s="7" t="n">
        <f aca="false">SUM(I89:J89)</f>
        <v>3</v>
      </c>
      <c r="M89" s="6" t="n">
        <f aca="false">AVERAGE(I89:J89)</f>
        <v>1.5</v>
      </c>
      <c r="N89" s="6" t="n">
        <f aca="false">MEDIAN(I89:J89)</f>
        <v>1.5</v>
      </c>
      <c r="O89" s="6" t="n">
        <f aca="false">MAX(I89:J89)</f>
        <v>3</v>
      </c>
      <c r="P89" s="6" t="n">
        <f aca="false">MIN(I89:J89)</f>
        <v>0</v>
      </c>
      <c r="Q89" s="6" t="str">
        <f aca="false">IF(O89&gt;=50,"VERY","NOT VERY")</f>
        <v>NOT VERY</v>
      </c>
    </row>
    <row r="90" customFormat="false" ht="14.25" hidden="false" customHeight="false" outlineLevel="0" collapsed="false">
      <c r="A90" s="6" t="s">
        <v>95</v>
      </c>
      <c r="B90" s="6" t="s">
        <v>117</v>
      </c>
      <c r="C90" s="6" t="n">
        <v>9</v>
      </c>
      <c r="D90" s="6" t="s">
        <v>27</v>
      </c>
      <c r="E90" s="6" t="s">
        <v>20</v>
      </c>
      <c r="F90" s="6" t="n">
        <v>2022</v>
      </c>
      <c r="G90" s="6" t="n">
        <v>10.2</v>
      </c>
      <c r="H90" s="6" t="n">
        <v>0</v>
      </c>
      <c r="I90" s="6" t="n">
        <v>0</v>
      </c>
      <c r="J90" s="6" t="n">
        <v>0</v>
      </c>
      <c r="K90" s="6"/>
      <c r="L90" s="7" t="n">
        <f aca="false">SUM(I90:J90)</f>
        <v>0</v>
      </c>
      <c r="M90" s="6" t="n">
        <f aca="false">AVERAGE(I90:J90)</f>
        <v>0</v>
      </c>
      <c r="N90" s="6" t="n">
        <f aca="false">MEDIAN(I90:J90)</f>
        <v>0</v>
      </c>
      <c r="O90" s="6" t="n">
        <f aca="false">MAX(I90:J90)</f>
        <v>0</v>
      </c>
      <c r="P90" s="6" t="n">
        <f aca="false">MIN(I90:J90)</f>
        <v>0</v>
      </c>
      <c r="Q90" s="6" t="str">
        <f aca="false">IF(O90&gt;=50,"VERY","NOT VERY")</f>
        <v>NOT VERY</v>
      </c>
    </row>
    <row r="91" customFormat="false" ht="14.25" hidden="false" customHeight="false" outlineLevel="0" collapsed="false">
      <c r="A91" s="6" t="s">
        <v>95</v>
      </c>
      <c r="B91" s="6" t="s">
        <v>118</v>
      </c>
      <c r="C91" s="6" t="n">
        <v>10</v>
      </c>
      <c r="D91" s="6" t="s">
        <v>27</v>
      </c>
      <c r="E91" s="6" t="s">
        <v>24</v>
      </c>
      <c r="F91" s="6" t="n">
        <v>2016</v>
      </c>
      <c r="G91" s="6" t="n">
        <v>6.7</v>
      </c>
      <c r="H91" s="6" t="n">
        <v>6</v>
      </c>
      <c r="I91" s="6" t="n">
        <v>9</v>
      </c>
      <c r="J91" s="6" t="n">
        <v>12</v>
      </c>
      <c r="K91" s="6"/>
      <c r="L91" s="7" t="n">
        <f aca="false">SUM(I91:J91)</f>
        <v>21</v>
      </c>
      <c r="M91" s="6" t="n">
        <f aca="false">AVERAGE(I91:J91)</f>
        <v>10.5</v>
      </c>
      <c r="N91" s="6" t="n">
        <f aca="false">MEDIAN(I91:J91)</f>
        <v>10.5</v>
      </c>
      <c r="O91" s="6" t="n">
        <f aca="false">MAX(I91:J91)</f>
        <v>12</v>
      </c>
      <c r="P91" s="6" t="n">
        <f aca="false">MIN(I91:J91)</f>
        <v>9</v>
      </c>
      <c r="Q91" s="6" t="str">
        <f aca="false">IF(O91&gt;=50,"VERY","NOT VERY")</f>
        <v>NOT VERY</v>
      </c>
    </row>
    <row r="92" customFormat="false" ht="14.25" hidden="false" customHeight="false" outlineLevel="0" collapsed="false">
      <c r="A92" s="6" t="s">
        <v>95</v>
      </c>
      <c r="B92" s="6" t="s">
        <v>119</v>
      </c>
      <c r="C92" s="6" t="n">
        <v>4</v>
      </c>
      <c r="D92" s="6" t="s">
        <v>27</v>
      </c>
      <c r="E92" s="6" t="s">
        <v>20</v>
      </c>
      <c r="F92" s="6" t="n">
        <v>2017</v>
      </c>
      <c r="G92" s="6" t="n">
        <v>9.4</v>
      </c>
      <c r="H92" s="6" t="n">
        <v>5</v>
      </c>
      <c r="I92" s="6" t="n">
        <v>5</v>
      </c>
      <c r="J92" s="6" t="n">
        <v>10</v>
      </c>
      <c r="K92" s="6"/>
      <c r="L92" s="7" t="n">
        <f aca="false">SUM(I92:J92)</f>
        <v>15</v>
      </c>
      <c r="M92" s="6" t="n">
        <f aca="false">AVERAGE(I92:J92)</f>
        <v>7.5</v>
      </c>
      <c r="N92" s="6" t="n">
        <f aca="false">MEDIAN(I92:J92)</f>
        <v>7.5</v>
      </c>
      <c r="O92" s="6" t="n">
        <f aca="false">MAX(I92:J92)</f>
        <v>10</v>
      </c>
      <c r="P92" s="6" t="n">
        <f aca="false">MIN(I92:J92)</f>
        <v>5</v>
      </c>
      <c r="Q92" s="6" t="str">
        <f aca="false">IF(O92&gt;=50,"VERY","NOT VERY")</f>
        <v>NOT VERY</v>
      </c>
    </row>
    <row r="93" customFormat="false" ht="14.25" hidden="false" customHeight="false" outlineLevel="0" collapsed="false">
      <c r="A93" s="6" t="s">
        <v>95</v>
      </c>
      <c r="B93" s="6" t="s">
        <v>120</v>
      </c>
      <c r="C93" s="6" t="n">
        <v>5</v>
      </c>
      <c r="D93" s="6" t="s">
        <v>19</v>
      </c>
      <c r="E93" s="6" t="s">
        <v>24</v>
      </c>
      <c r="F93" s="6" t="n">
        <v>2016</v>
      </c>
      <c r="G93" s="6" t="n">
        <v>6.1</v>
      </c>
      <c r="H93" s="6" t="n">
        <v>7</v>
      </c>
      <c r="I93" s="6" t="n">
        <v>7</v>
      </c>
      <c r="J93" s="6" t="n">
        <v>14</v>
      </c>
      <c r="K93" s="6"/>
      <c r="L93" s="7" t="n">
        <f aca="false">SUM(I93:J93)</f>
        <v>21</v>
      </c>
      <c r="M93" s="6" t="n">
        <f aca="false">AVERAGE(I93:J93)</f>
        <v>10.5</v>
      </c>
      <c r="N93" s="6" t="n">
        <f aca="false">MEDIAN(I93:J93)</f>
        <v>10.5</v>
      </c>
      <c r="O93" s="6" t="n">
        <f aca="false">MAX(I93:J93)</f>
        <v>14</v>
      </c>
      <c r="P93" s="6" t="n">
        <f aca="false">MIN(I93:J93)</f>
        <v>7</v>
      </c>
      <c r="Q93" s="6" t="str">
        <f aca="false">IF(O93&gt;=50,"VERY","NOT VERY")</f>
        <v>NOT VERY</v>
      </c>
    </row>
    <row r="94" customFormat="false" ht="14.25" hidden="false" customHeight="false" outlineLevel="0" collapsed="false">
      <c r="A94" s="6" t="s">
        <v>95</v>
      </c>
      <c r="B94" s="6" t="s">
        <v>121</v>
      </c>
      <c r="C94" s="6" t="n">
        <v>14</v>
      </c>
      <c r="D94" s="6" t="s">
        <v>27</v>
      </c>
      <c r="E94" s="6" t="s">
        <v>20</v>
      </c>
      <c r="F94" s="6" t="n">
        <v>2019</v>
      </c>
      <c r="G94" s="6" t="n">
        <v>10.4</v>
      </c>
      <c r="H94" s="6" t="n">
        <v>0</v>
      </c>
      <c r="I94" s="6" t="n">
        <v>1</v>
      </c>
      <c r="J94" s="6" t="n">
        <v>0</v>
      </c>
      <c r="K94" s="6"/>
      <c r="L94" s="7" t="n">
        <f aca="false">SUM(I94:J94)</f>
        <v>1</v>
      </c>
      <c r="M94" s="6" t="n">
        <f aca="false">AVERAGE(I94:J94)</f>
        <v>0.5</v>
      </c>
      <c r="N94" s="6" t="n">
        <f aca="false">MEDIAN(I94:J94)</f>
        <v>0.5</v>
      </c>
      <c r="O94" s="6" t="n">
        <f aca="false">MAX(I94:J94)</f>
        <v>1</v>
      </c>
      <c r="P94" s="6" t="n">
        <f aca="false">MIN(I94:J94)</f>
        <v>0</v>
      </c>
      <c r="Q94" s="6" t="str">
        <f aca="false">IF(O94&gt;=50,"VERY","NOT VERY")</f>
        <v>NOT VERY</v>
      </c>
    </row>
    <row r="95" customFormat="false" ht="14.25" hidden="false" customHeight="false" outlineLevel="0" collapsed="false">
      <c r="A95" s="6" t="s">
        <v>95</v>
      </c>
      <c r="B95" s="6" t="s">
        <v>122</v>
      </c>
      <c r="C95" s="6" t="n">
        <v>9</v>
      </c>
      <c r="D95" s="6" t="s">
        <v>19</v>
      </c>
      <c r="E95" s="6" t="s">
        <v>24</v>
      </c>
      <c r="F95" s="6" t="n">
        <v>2018</v>
      </c>
      <c r="G95" s="6" t="n">
        <v>6.1</v>
      </c>
      <c r="H95" s="6" t="n">
        <v>8</v>
      </c>
      <c r="I95" s="6" t="n">
        <v>8</v>
      </c>
      <c r="J95" s="6" t="n">
        <v>24</v>
      </c>
      <c r="K95" s="6"/>
      <c r="L95" s="7" t="n">
        <f aca="false">SUM(I95:J95)</f>
        <v>32</v>
      </c>
      <c r="M95" s="6" t="n">
        <f aca="false">AVERAGE(I95:J95)</f>
        <v>16</v>
      </c>
      <c r="N95" s="6" t="n">
        <f aca="false">MEDIAN(I95:J95)</f>
        <v>16</v>
      </c>
      <c r="O95" s="6" t="n">
        <f aca="false">MAX(I95:J95)</f>
        <v>24</v>
      </c>
      <c r="P95" s="6" t="n">
        <f aca="false">MIN(I95:J95)</f>
        <v>8</v>
      </c>
      <c r="Q95" s="6" t="str">
        <f aca="false">IF(O95&gt;=50,"VERY","NOT VERY")</f>
        <v>NOT VERY</v>
      </c>
    </row>
    <row r="96" customFormat="false" ht="14.25" hidden="false" customHeight="false" outlineLevel="0" collapsed="false">
      <c r="A96" s="6" t="s">
        <v>95</v>
      </c>
      <c r="B96" s="6" t="s">
        <v>123</v>
      </c>
      <c r="C96" s="6" t="n">
        <v>12</v>
      </c>
      <c r="D96" s="6" t="s">
        <v>19</v>
      </c>
      <c r="E96" s="6" t="s">
        <v>20</v>
      </c>
      <c r="F96" s="6" t="n">
        <v>2017</v>
      </c>
      <c r="G96" s="6" t="n">
        <v>9.8</v>
      </c>
      <c r="H96" s="6" t="n">
        <v>0</v>
      </c>
      <c r="I96" s="6" t="n">
        <v>3</v>
      </c>
      <c r="J96" s="6" t="n">
        <v>0</v>
      </c>
      <c r="K96" s="6"/>
      <c r="L96" s="7" t="n">
        <f aca="false">SUM(I96:J96)</f>
        <v>3</v>
      </c>
      <c r="M96" s="6" t="n">
        <f aca="false">AVERAGE(I96:J96)</f>
        <v>1.5</v>
      </c>
      <c r="N96" s="6" t="n">
        <f aca="false">MEDIAN(I96:J96)</f>
        <v>1.5</v>
      </c>
      <c r="O96" s="6" t="n">
        <f aca="false">MAX(I96:J96)</f>
        <v>3</v>
      </c>
      <c r="P96" s="6" t="n">
        <f aca="false">MIN(I96:J96)</f>
        <v>0</v>
      </c>
      <c r="Q96" s="6" t="str">
        <f aca="false">IF(O96&gt;=50,"VERY","NOT VERY")</f>
        <v>NOT VERY</v>
      </c>
    </row>
    <row r="97" customFormat="false" ht="14.25" hidden="false" customHeight="false" outlineLevel="0" collapsed="false">
      <c r="A97" s="6" t="s">
        <v>95</v>
      </c>
      <c r="B97" s="6" t="s">
        <v>124</v>
      </c>
      <c r="C97" s="6" t="n">
        <v>3</v>
      </c>
      <c r="D97" s="6" t="s">
        <v>19</v>
      </c>
      <c r="E97" s="6" t="s">
        <v>24</v>
      </c>
      <c r="F97" s="6" t="n">
        <v>2020</v>
      </c>
      <c r="G97" s="6" t="n">
        <v>6.2</v>
      </c>
      <c r="H97" s="6" t="n">
        <v>5</v>
      </c>
      <c r="I97" s="6" t="n">
        <v>6</v>
      </c>
      <c r="J97" s="6" t="n">
        <v>10</v>
      </c>
      <c r="K97" s="6"/>
      <c r="L97" s="7" t="n">
        <f aca="false">SUM(I97:J97)</f>
        <v>16</v>
      </c>
      <c r="M97" s="6" t="n">
        <f aca="false">AVERAGE(I97:J97)</f>
        <v>8</v>
      </c>
      <c r="N97" s="6" t="n">
        <f aca="false">MEDIAN(I97:J97)</f>
        <v>8</v>
      </c>
      <c r="O97" s="6" t="n">
        <f aca="false">MAX(I97:J97)</f>
        <v>10</v>
      </c>
      <c r="P97" s="6" t="n">
        <f aca="false">MIN(I97:J97)</f>
        <v>6</v>
      </c>
      <c r="Q97" s="6" t="str">
        <f aca="false">IF(O97&gt;=50,"VERY","NOT VERY")</f>
        <v>NOT VERY</v>
      </c>
    </row>
    <row r="98" customFormat="false" ht="14.25" hidden="false" customHeight="false" outlineLevel="0" collapsed="false">
      <c r="A98" s="6" t="s">
        <v>95</v>
      </c>
      <c r="B98" s="6" t="s">
        <v>125</v>
      </c>
      <c r="C98" s="6" t="n">
        <v>11</v>
      </c>
      <c r="D98" s="6" t="s">
        <v>19</v>
      </c>
      <c r="E98" s="6" t="s">
        <v>24</v>
      </c>
      <c r="F98" s="6" t="n">
        <v>2019</v>
      </c>
      <c r="G98" s="6" t="n">
        <v>6.8</v>
      </c>
      <c r="H98" s="6" t="n">
        <v>10</v>
      </c>
      <c r="I98" s="6" t="n">
        <v>12</v>
      </c>
      <c r="J98" s="6" t="n">
        <v>30</v>
      </c>
      <c r="K98" s="6"/>
      <c r="L98" s="7" t="n">
        <f aca="false">SUM(I98:J98)</f>
        <v>42</v>
      </c>
      <c r="M98" s="6" t="n">
        <f aca="false">AVERAGE(I98:J98)</f>
        <v>21</v>
      </c>
      <c r="N98" s="6" t="n">
        <f aca="false">MEDIAN(I98:J98)</f>
        <v>21</v>
      </c>
      <c r="O98" s="6" t="n">
        <f aca="false">MAX(I98:J98)</f>
        <v>30</v>
      </c>
      <c r="P98" s="6" t="n">
        <f aca="false">MIN(I98:J98)</f>
        <v>12</v>
      </c>
      <c r="Q98" s="6" t="str">
        <f aca="false">IF(O98&gt;=50,"VERY","NOT VERY")</f>
        <v>NOT VERY</v>
      </c>
    </row>
    <row r="99" customFormat="false" ht="14.25" hidden="false" customHeight="false" outlineLevel="0" collapsed="false">
      <c r="A99" s="6" t="s">
        <v>95</v>
      </c>
      <c r="B99" s="6" t="s">
        <v>126</v>
      </c>
      <c r="C99" s="6" t="n">
        <v>10</v>
      </c>
      <c r="D99" s="6" t="s">
        <v>19</v>
      </c>
      <c r="E99" s="6" t="s">
        <v>24</v>
      </c>
      <c r="F99" s="6" t="n">
        <v>2023</v>
      </c>
      <c r="G99" s="6" t="n">
        <v>8.3</v>
      </c>
      <c r="H99" s="6" t="n">
        <v>3</v>
      </c>
      <c r="I99" s="6" t="n">
        <v>3</v>
      </c>
      <c r="J99" s="6" t="n">
        <v>12</v>
      </c>
      <c r="K99" s="6"/>
      <c r="L99" s="7" t="n">
        <f aca="false">SUM(I99:J99)</f>
        <v>15</v>
      </c>
      <c r="M99" s="6" t="n">
        <f aca="false">AVERAGE(I99:J99)</f>
        <v>7.5</v>
      </c>
      <c r="N99" s="6" t="n">
        <f aca="false">MEDIAN(I99:J99)</f>
        <v>7.5</v>
      </c>
      <c r="O99" s="6" t="n">
        <f aca="false">MAX(I99:J99)</f>
        <v>12</v>
      </c>
      <c r="P99" s="6" t="n">
        <f aca="false">MIN(I99:J99)</f>
        <v>3</v>
      </c>
      <c r="Q99" s="6" t="str">
        <f aca="false">IF(O99&gt;=50,"VERY","NOT VERY")</f>
        <v>NOT VERY</v>
      </c>
    </row>
    <row r="100" customFormat="false" ht="14.25" hidden="false" customHeight="false" outlineLevel="0" collapsed="false">
      <c r="A100" s="6" t="s">
        <v>95</v>
      </c>
      <c r="B100" s="6" t="s">
        <v>127</v>
      </c>
      <c r="C100" s="6" t="n">
        <v>10</v>
      </c>
      <c r="D100" s="6" t="s">
        <v>27</v>
      </c>
      <c r="E100" s="6" t="s">
        <v>24</v>
      </c>
      <c r="F100" s="6" t="n">
        <v>2019</v>
      </c>
      <c r="G100" s="6" t="n">
        <v>6.8</v>
      </c>
      <c r="H100" s="6" t="n">
        <v>4</v>
      </c>
      <c r="I100" s="6" t="n">
        <v>6</v>
      </c>
      <c r="J100" s="6" t="n">
        <v>20</v>
      </c>
      <c r="K100" s="6"/>
      <c r="L100" s="7" t="n">
        <f aca="false">SUM(I100:J100)</f>
        <v>26</v>
      </c>
      <c r="M100" s="6" t="n">
        <f aca="false">AVERAGE(I100:J100)</f>
        <v>13</v>
      </c>
      <c r="N100" s="6" t="n">
        <f aca="false">MEDIAN(I100:J100)</f>
        <v>13</v>
      </c>
      <c r="O100" s="6" t="n">
        <f aca="false">MAX(I100:J100)</f>
        <v>20</v>
      </c>
      <c r="P100" s="6" t="n">
        <f aca="false">MIN(I100:J100)</f>
        <v>6</v>
      </c>
      <c r="Q100" s="6" t="str">
        <f aca="false">IF(O100&gt;=50,"VERY","NOT VERY")</f>
        <v>NOT VERY</v>
      </c>
    </row>
    <row r="101" customFormat="false" ht="14.25" hidden="false" customHeight="false" outlineLevel="0" collapsed="false">
      <c r="A101" s="6" t="s">
        <v>95</v>
      </c>
      <c r="B101" s="6" t="s">
        <v>128</v>
      </c>
      <c r="C101" s="6" t="n">
        <v>7</v>
      </c>
      <c r="D101" s="6" t="s">
        <v>27</v>
      </c>
      <c r="E101" s="6" t="s">
        <v>24</v>
      </c>
      <c r="F101" s="6" t="n">
        <v>2022</v>
      </c>
      <c r="G101" s="6" t="n">
        <v>6.4</v>
      </c>
      <c r="H101" s="6" t="n">
        <v>3</v>
      </c>
      <c r="I101" s="6" t="n">
        <v>3</v>
      </c>
      <c r="J101" s="6" t="n">
        <v>9</v>
      </c>
      <c r="K101" s="6"/>
      <c r="L101" s="7" t="n">
        <f aca="false">SUM(I101:J101)</f>
        <v>12</v>
      </c>
      <c r="M101" s="6" t="n">
        <f aca="false">AVERAGE(I101:J101)</f>
        <v>6</v>
      </c>
      <c r="N101" s="6" t="n">
        <f aca="false">MEDIAN(I101:J101)</f>
        <v>6</v>
      </c>
      <c r="O101" s="6" t="n">
        <f aca="false">MAX(I101:J101)</f>
        <v>9</v>
      </c>
      <c r="P101" s="6" t="n">
        <f aca="false">MIN(I101:J101)</f>
        <v>3</v>
      </c>
      <c r="Q101" s="6" t="str">
        <f aca="false">IF(O101&gt;=50,"VERY","NOT VERY")</f>
        <v>NOT VERY</v>
      </c>
    </row>
  </sheetData>
  <mergeCells count="1">
    <mergeCell ref="T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2026-04-28T12:28:00Z</dcterms:created>
  <dc:creator>openpyxl</dc:creator>
  <dc:description/>
  <dc:language>en-NG</dc:language>
  <cp:lastModifiedBy/>
  <dcterms:modified xsi:type="dcterms:W3CDTF">2026-04-30T11:14:58Z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2E512EA5D5994F91A420CC83B64BFC7D_12</vt:lpwstr>
  </property>
  <property fmtid="{D5CDD505-2E9C-101B-9397-08002B2CF9AE}" pid="3" name="KSOProductBuildVer">
    <vt:lpwstr>1033-12.2.0.23196</vt:lpwstr>
  </property>
</Properties>
</file>